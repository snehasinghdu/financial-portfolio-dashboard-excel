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DELL\Desktop\Projects\"/>
    </mc:Choice>
  </mc:AlternateContent>
  <bookViews>
    <workbookView xWindow="0" yWindow="0" windowWidth="19200" windowHeight="6848" activeTab="3"/>
  </bookViews>
  <sheets>
    <sheet name="raw_data" sheetId="1" r:id="rId1"/>
    <sheet name="pivot" sheetId="3" r:id="rId2"/>
    <sheet name="KPI" sheetId="6" r:id="rId3"/>
    <sheet name="Dashboard" sheetId="5" r:id="rId4"/>
  </sheets>
  <definedNames>
    <definedName name="Slicer_City">#N/A</definedName>
    <definedName name="Slicer_Month">#N/A</definedName>
    <definedName name="Slicer_Transaction_Type">#N/A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90" i="1" l="1"/>
  <c r="K864" i="1"/>
  <c r="K758" i="1"/>
  <c r="K351" i="1"/>
  <c r="K490" i="1"/>
  <c r="K868" i="1"/>
  <c r="K461" i="1"/>
  <c r="K788" i="1"/>
  <c r="K429" i="1"/>
  <c r="K192" i="1"/>
  <c r="K495" i="1"/>
  <c r="K899" i="1"/>
  <c r="K272" i="1"/>
  <c r="K28" i="1"/>
  <c r="K831" i="1"/>
  <c r="K746" i="1"/>
  <c r="K830" i="1"/>
  <c r="K713" i="1"/>
  <c r="K859" i="1"/>
  <c r="K789" i="1"/>
  <c r="K57" i="1"/>
  <c r="K515" i="1"/>
  <c r="K542" i="1"/>
  <c r="K904" i="1"/>
  <c r="K750" i="1"/>
  <c r="K915" i="1"/>
  <c r="K562" i="1"/>
  <c r="K10" i="1"/>
  <c r="K112" i="1"/>
  <c r="K224" i="1"/>
  <c r="K171" i="1"/>
  <c r="K228" i="1"/>
  <c r="K187" i="1"/>
  <c r="K55" i="1"/>
  <c r="K563" i="1"/>
  <c r="K127" i="1"/>
  <c r="K302" i="1"/>
  <c r="K926" i="1"/>
  <c r="K837" i="1"/>
  <c r="K164" i="1"/>
  <c r="K211" i="1"/>
  <c r="K51" i="1"/>
  <c r="K927" i="1"/>
  <c r="K729" i="1"/>
  <c r="K321" i="1"/>
  <c r="K144" i="1"/>
  <c r="K385" i="1"/>
  <c r="K1000" i="1"/>
  <c r="K726" i="1"/>
  <c r="K566" i="1"/>
  <c r="K353" i="1"/>
  <c r="K857" i="1"/>
  <c r="K764" i="1"/>
  <c r="K770" i="1"/>
  <c r="K196" i="1"/>
  <c r="K146" i="1"/>
  <c r="K981" i="1"/>
  <c r="K138" i="1"/>
  <c r="K516" i="1"/>
  <c r="K920" i="1"/>
  <c r="K604" i="1"/>
  <c r="K45" i="1"/>
  <c r="K497" i="1"/>
  <c r="K555" i="1"/>
  <c r="K725" i="1"/>
  <c r="K389" i="1"/>
  <c r="K846" i="1"/>
  <c r="K565" i="1"/>
  <c r="K172" i="1"/>
  <c r="K972" i="1"/>
  <c r="K473" i="1"/>
  <c r="K173" i="1"/>
  <c r="K433" i="1"/>
  <c r="K983" i="1"/>
  <c r="K110" i="1"/>
  <c r="K299" i="1"/>
  <c r="K701" i="1"/>
  <c r="K283" i="1"/>
  <c r="K219" i="1"/>
  <c r="K860" i="1"/>
  <c r="K518" i="1"/>
  <c r="K688" i="1"/>
  <c r="K307" i="1"/>
  <c r="K670" i="1"/>
  <c r="K637" i="1"/>
  <c r="K14" i="1"/>
  <c r="K502" i="1"/>
  <c r="K330" i="1"/>
  <c r="K702" i="1"/>
  <c r="K384" i="1"/>
  <c r="K147" i="1"/>
  <c r="K270" i="1"/>
  <c r="K245" i="1"/>
  <c r="K434" i="1"/>
  <c r="K72" i="1"/>
  <c r="K668" i="1"/>
  <c r="K498" i="1"/>
  <c r="K181" i="1"/>
  <c r="K240" i="1"/>
  <c r="K614" i="1"/>
  <c r="K892" i="1"/>
  <c r="K105" i="1"/>
  <c r="K913" i="1"/>
  <c r="K372" i="1"/>
  <c r="K234" i="1"/>
  <c r="K934" i="1"/>
  <c r="K551" i="1"/>
  <c r="K37" i="1"/>
  <c r="K220" i="1"/>
  <c r="K386" i="1"/>
  <c r="K38" i="1"/>
  <c r="K747" i="1"/>
  <c r="K247" i="1"/>
  <c r="K596" i="1"/>
  <c r="K316" i="1"/>
  <c r="K418" i="1"/>
  <c r="K661" i="1"/>
  <c r="K12" i="1"/>
  <c r="K757" i="1"/>
  <c r="K348" i="1"/>
  <c r="K362" i="1"/>
  <c r="K973" i="1"/>
  <c r="K370" i="1"/>
  <c r="K165" i="1"/>
  <c r="K690" i="1"/>
  <c r="K33" i="1"/>
  <c r="K602" i="1"/>
  <c r="K695" i="1"/>
  <c r="K648" i="1"/>
  <c r="K87" i="1"/>
  <c r="K252" i="1"/>
  <c r="K182" i="1"/>
  <c r="K46" i="1"/>
  <c r="K666" i="1"/>
  <c r="K759" i="1"/>
  <c r="K276" i="1"/>
  <c r="K329" i="1"/>
  <c r="K824" i="1"/>
  <c r="K819" i="1"/>
  <c r="K519" i="1"/>
  <c r="K962" i="1"/>
  <c r="K988" i="1"/>
  <c r="K440" i="1"/>
  <c r="K31" i="1"/>
  <c r="K678" i="1"/>
  <c r="K263" i="1"/>
  <c r="K377" i="1"/>
  <c r="K619" i="1"/>
  <c r="K2" i="1"/>
  <c r="K506" i="1"/>
  <c r="K925" i="1"/>
  <c r="K217" i="1"/>
  <c r="K166" i="1"/>
  <c r="K249" i="1"/>
  <c r="K799" i="1"/>
  <c r="K989" i="1"/>
  <c r="K104" i="1"/>
  <c r="K889" i="1"/>
  <c r="K865" i="1"/>
  <c r="K297" i="1"/>
  <c r="K264" i="1"/>
  <c r="K777" i="1"/>
  <c r="K492" i="1"/>
  <c r="K760" i="1"/>
  <c r="K843" i="1"/>
  <c r="K520" i="1"/>
  <c r="K781" i="1"/>
  <c r="K499" i="1"/>
  <c r="K838" i="1"/>
  <c r="K308" i="1"/>
  <c r="K766" i="1"/>
  <c r="K487" i="1"/>
  <c r="K325" i="1"/>
  <c r="K793" i="1"/>
  <c r="K681" i="1"/>
  <c r="K894" i="1"/>
  <c r="K479" i="1"/>
  <c r="K914" i="1"/>
  <c r="K420" i="1"/>
  <c r="K457" i="1"/>
  <c r="K612" i="1"/>
  <c r="K546" i="1"/>
  <c r="K75" i="1"/>
  <c r="K594" i="1"/>
  <c r="K273" i="1"/>
  <c r="K343" i="1"/>
  <c r="K133" i="1"/>
  <c r="K266" i="1"/>
  <c r="K481" i="1"/>
  <c r="K64" i="1"/>
  <c r="K168" i="1"/>
  <c r="K17" i="1"/>
  <c r="K35" i="1"/>
  <c r="K357" i="1"/>
  <c r="K528" i="1"/>
  <c r="K387" i="1"/>
  <c r="K654" i="1"/>
  <c r="K936" i="1"/>
  <c r="K905" i="1"/>
  <c r="K435" i="1"/>
  <c r="K638" i="1"/>
  <c r="K421" i="1"/>
  <c r="K957" i="1"/>
  <c r="K92" i="1"/>
  <c r="K312" i="1"/>
  <c r="K728" i="1"/>
  <c r="K805" i="1"/>
  <c r="K748" i="1"/>
  <c r="K958" i="1"/>
  <c r="K591" i="1"/>
  <c r="K177" i="1"/>
  <c r="K446" i="1"/>
  <c r="K213" i="1"/>
  <c r="K858" i="1"/>
  <c r="K964" i="1"/>
  <c r="K845" i="1"/>
  <c r="K667" i="1"/>
  <c r="K19" i="1"/>
  <c r="K97" i="1"/>
  <c r="K639" i="1"/>
  <c r="K430" i="1"/>
  <c r="K633" i="1"/>
  <c r="K778" i="1"/>
  <c r="K553" i="1"/>
  <c r="K84" i="1"/>
  <c r="K134" i="1"/>
  <c r="K194" i="1"/>
  <c r="K627" i="1"/>
  <c r="K453" i="1"/>
  <c r="K996" i="1"/>
  <c r="K717" i="1"/>
  <c r="K61" i="1"/>
  <c r="K655" i="1"/>
  <c r="K622" i="1"/>
  <c r="K960" i="1"/>
  <c r="K135" i="1"/>
  <c r="K950" i="1"/>
  <c r="K623" i="1"/>
  <c r="K199" i="1"/>
  <c r="K556" i="1"/>
  <c r="K96" i="1"/>
  <c r="K466" i="1"/>
  <c r="K593" i="1"/>
  <c r="K236" i="1"/>
  <c r="K208" i="1"/>
  <c r="K700" i="1"/>
  <c r="K534" i="1"/>
  <c r="K27" i="1"/>
  <c r="K787" i="1"/>
  <c r="K445" i="1"/>
  <c r="K665" i="1"/>
  <c r="K921" i="1"/>
  <c r="K541" i="1"/>
  <c r="K441" i="1"/>
  <c r="K791" i="1"/>
  <c r="K244" i="1"/>
  <c r="K301" i="1"/>
  <c r="K278" i="1"/>
  <c r="K32" i="1"/>
  <c r="K508" i="1"/>
  <c r="K148" i="1"/>
  <c r="K888" i="1"/>
  <c r="K489" i="1"/>
  <c r="K966" i="1"/>
  <c r="K544" i="1"/>
  <c r="K304" i="1"/>
  <c r="K113" i="1"/>
  <c r="K998" i="1"/>
  <c r="K287" i="1"/>
  <c r="K4" i="1"/>
  <c r="K692" i="1"/>
  <c r="K910" i="1"/>
  <c r="K44" i="1"/>
  <c r="K474" i="1"/>
  <c r="K756" i="1"/>
  <c r="K993" i="1"/>
  <c r="K221" i="1"/>
  <c r="K979" i="1"/>
  <c r="K333" i="1"/>
  <c r="K216" i="1"/>
  <c r="K931" i="1"/>
  <c r="K282" i="1"/>
  <c r="K423" i="1"/>
  <c r="K136" i="1"/>
  <c r="K514" i="1"/>
  <c r="K361" i="1"/>
  <c r="K980" i="1"/>
  <c r="K828" i="1"/>
  <c r="K741" i="1"/>
  <c r="K412" i="1"/>
  <c r="K723" i="1"/>
  <c r="K233" i="1"/>
  <c r="K279" i="1"/>
  <c r="K99" i="1"/>
  <c r="K379" i="1"/>
  <c r="K827" i="1"/>
  <c r="K206" i="1"/>
  <c r="K393" i="1"/>
  <c r="K803" i="1"/>
  <c r="K203" i="1"/>
  <c r="K968" i="1"/>
  <c r="K29" i="1"/>
  <c r="K976" i="1"/>
  <c r="K447" i="1"/>
  <c r="K260" i="1"/>
  <c r="K86" i="1"/>
  <c r="K559" i="1"/>
  <c r="K238" i="1"/>
  <c r="K43" i="1"/>
  <c r="K651" i="1"/>
  <c r="K684" i="1"/>
  <c r="K480" i="1"/>
  <c r="K388" i="1"/>
  <c r="K305" i="1"/>
  <c r="K718" i="1"/>
  <c r="K900" i="1"/>
  <c r="K848" i="1"/>
  <c r="K585" i="1"/>
  <c r="K951" i="1"/>
  <c r="K715" i="1"/>
  <c r="K409" i="1"/>
  <c r="K891" i="1"/>
  <c r="K261" i="1"/>
  <c r="K560" i="1"/>
  <c r="K407" i="1"/>
  <c r="K822" i="1"/>
  <c r="K961" i="1"/>
  <c r="K415" i="1"/>
  <c r="K188" i="1"/>
  <c r="K306" i="1"/>
  <c r="K358" i="1"/>
  <c r="K81" i="1"/>
  <c r="K269" i="1"/>
  <c r="K82" i="1"/>
  <c r="K797" i="1"/>
  <c r="K118" i="1"/>
  <c r="K7" i="1"/>
  <c r="K686" i="1"/>
  <c r="K881" i="1"/>
  <c r="K49" i="1"/>
  <c r="K265" i="1"/>
  <c r="K314" i="1"/>
  <c r="K535" i="1"/>
  <c r="K410" i="1"/>
  <c r="K963" i="1"/>
  <c r="K561" i="1"/>
  <c r="K829" i="1"/>
  <c r="K527" i="1"/>
  <c r="K932" i="1"/>
  <c r="K578" i="1"/>
  <c r="K987" i="1"/>
  <c r="K933" i="1"/>
  <c r="K982" i="1"/>
  <c r="K175" i="1"/>
  <c r="K850" i="1"/>
  <c r="K992" i="1"/>
  <c r="K285" i="1"/>
  <c r="K15" i="1"/>
  <c r="K716" i="1"/>
  <c r="K632" i="1"/>
  <c r="K53" i="1"/>
  <c r="K143" i="1"/>
  <c r="K460" i="1"/>
  <c r="K522" i="1"/>
  <c r="K537" i="1"/>
  <c r="K167" i="1"/>
  <c r="K579" i="1"/>
  <c r="K530" i="1"/>
  <c r="K675" i="1"/>
  <c r="K917" i="1"/>
  <c r="K730" i="1"/>
  <c r="K673" i="1"/>
  <c r="K83" i="1"/>
  <c r="K231" i="1"/>
  <c r="K381" i="1"/>
  <c r="K558" i="1"/>
  <c r="K131" i="1"/>
  <c r="K154" i="1"/>
  <c r="K137" i="1"/>
  <c r="K918" i="1"/>
  <c r="K629" i="1"/>
  <c r="K624" i="1"/>
  <c r="K485" i="1"/>
  <c r="K67" i="1"/>
  <c r="K160" i="1"/>
  <c r="K296" i="1"/>
  <c r="K576" i="1"/>
  <c r="K636" i="1"/>
  <c r="K74" i="1"/>
  <c r="K246" i="1"/>
  <c r="K922" i="1"/>
  <c r="K851" i="1"/>
  <c r="K625" i="1"/>
  <c r="K413" i="1"/>
  <c r="K277" i="1"/>
  <c r="K945" i="1"/>
  <c r="K971" i="1"/>
  <c r="K821" i="1"/>
  <c r="K16" i="1"/>
  <c r="K943" i="1"/>
  <c r="K205" i="1"/>
  <c r="K494" i="1"/>
  <c r="K310" i="1"/>
  <c r="K970" i="1"/>
  <c r="K763" i="1"/>
  <c r="K608" i="1"/>
  <c r="K755" i="1"/>
  <c r="K615" i="1"/>
  <c r="K719" i="1"/>
  <c r="K364" i="1"/>
  <c r="K656" i="1"/>
  <c r="K840" i="1"/>
  <c r="K687" i="1"/>
  <c r="K735" i="1"/>
  <c r="K226" i="1"/>
  <c r="K293" i="1"/>
  <c r="K867" i="1"/>
  <c r="K611" i="1"/>
  <c r="K54" i="1"/>
  <c r="K356" i="1"/>
  <c r="K720" i="1"/>
  <c r="K448" i="1"/>
  <c r="K11" i="1"/>
  <c r="K959" i="1"/>
  <c r="K901" i="1"/>
  <c r="K50" i="1"/>
  <c r="K103" i="1"/>
  <c r="K620" i="1"/>
  <c r="K946" i="1"/>
  <c r="K68" i="1"/>
  <c r="K401" i="1"/>
  <c r="K601" i="1"/>
  <c r="K303" i="1"/>
  <c r="K411" i="1"/>
  <c r="K200" i="1"/>
  <c r="K744" i="1"/>
  <c r="K139" i="1"/>
  <c r="K274" i="1"/>
  <c r="K380" i="1"/>
  <c r="K218" i="1"/>
  <c r="K531" i="1"/>
  <c r="K60" i="1"/>
  <c r="K402" i="1"/>
  <c r="K65" i="1"/>
  <c r="K532" i="1"/>
  <c r="K484" i="1"/>
  <c r="K740" i="1"/>
  <c r="K890" i="1"/>
  <c r="K318" i="1"/>
  <c r="K432" i="1"/>
  <c r="K202" i="1"/>
  <c r="K823" i="1"/>
  <c r="K710" i="1"/>
  <c r="K954" i="1"/>
  <c r="K659" i="1"/>
  <c r="K955" i="1"/>
  <c r="K222" i="1"/>
  <c r="K157" i="1"/>
  <c r="K523" i="1"/>
  <c r="K25" i="1"/>
  <c r="K337" i="1"/>
  <c r="K186" i="1"/>
  <c r="K736" i="1"/>
  <c r="K1001" i="1"/>
  <c r="K179" i="1"/>
  <c r="K767" i="1"/>
  <c r="K319" i="1"/>
  <c r="K331" i="1"/>
  <c r="K798" i="1"/>
  <c r="K142" i="1"/>
  <c r="K657" i="1"/>
  <c r="K88" i="1"/>
  <c r="K262" i="1"/>
  <c r="K643" i="1"/>
  <c r="K76" i="1"/>
  <c r="K564" i="1"/>
  <c r="K529" i="1"/>
  <c r="K583" i="1"/>
  <c r="K298" i="1"/>
  <c r="K77" i="1"/>
  <c r="K256" i="1"/>
  <c r="K794" i="1"/>
  <c r="K581" i="1"/>
  <c r="K334" i="1"/>
  <c r="K106" i="1"/>
  <c r="K742" i="1"/>
  <c r="K341" i="1"/>
  <c r="K854" i="1"/>
  <c r="K937" i="1"/>
  <c r="K765" i="1"/>
  <c r="K280" i="1"/>
  <c r="K78" i="1"/>
  <c r="K467" i="1"/>
  <c r="K761" i="1"/>
  <c r="K751" i="1"/>
  <c r="K590" i="1"/>
  <c r="K288" i="1"/>
  <c r="K869" i="1"/>
  <c r="K36" i="1"/>
  <c r="K366" i="1"/>
  <c r="K662" i="1"/>
  <c r="K317" i="1"/>
  <c r="K382" i="1"/>
  <c r="K465" i="1"/>
  <c r="K163" i="1"/>
  <c r="K714" i="1"/>
  <c r="K997" i="1"/>
  <c r="K938" i="1"/>
  <c r="K707" i="1"/>
  <c r="K768" i="1"/>
  <c r="K863" i="1"/>
  <c r="K394" i="1"/>
  <c r="K652" i="1"/>
  <c r="K923" i="1"/>
  <c r="K326" i="1"/>
  <c r="K69" i="1"/>
  <c r="K573" i="1"/>
  <c r="K554" i="1"/>
  <c r="K300" i="1"/>
  <c r="K772" i="1"/>
  <c r="K649" i="1"/>
  <c r="K586" i="1"/>
  <c r="K616" i="1"/>
  <c r="K876" i="1"/>
  <c r="K327" i="1"/>
  <c r="K212" i="1"/>
  <c r="K94" i="1"/>
  <c r="K90" i="1"/>
  <c r="K809" i="1"/>
  <c r="K582" i="1"/>
  <c r="K597" i="1"/>
  <c r="K229" i="1"/>
  <c r="K782" i="1"/>
  <c r="K253" i="1"/>
  <c r="K455" i="1"/>
  <c r="K119" i="1"/>
  <c r="K911" i="1"/>
  <c r="K872" i="1"/>
  <c r="K783" i="1"/>
  <c r="K847" i="1"/>
  <c r="K161" i="1"/>
  <c r="K549" i="1"/>
  <c r="K149" i="1"/>
  <c r="K785" i="1"/>
  <c r="K101" i="1"/>
  <c r="K158" i="1"/>
  <c r="K595" i="1"/>
  <c r="K676" i="1"/>
  <c r="K383" i="1"/>
  <c r="K470" i="1"/>
  <c r="K291" i="1"/>
  <c r="K984" i="1"/>
  <c r="K339" i="1"/>
  <c r="K898" i="1"/>
  <c r="K403" i="1"/>
  <c r="K512" i="1"/>
  <c r="K464" i="1"/>
  <c r="K322" i="1"/>
  <c r="K967" i="1"/>
  <c r="K733" i="1"/>
  <c r="K500" i="1"/>
  <c r="K66" i="1"/>
  <c r="K151" i="1"/>
  <c r="K255" i="1"/>
  <c r="K689" i="1"/>
  <c r="K780" i="1"/>
  <c r="K835" i="1"/>
  <c r="K607" i="1"/>
  <c r="K870" i="1"/>
  <c r="K363" i="1"/>
  <c r="K108" i="1"/>
  <c r="K663" i="1"/>
  <c r="K990" i="1"/>
  <c r="K930" i="1"/>
  <c r="K365" i="1"/>
  <c r="K792" i="1"/>
  <c r="K373" i="1"/>
  <c r="K52" i="1"/>
  <c r="K320" i="1"/>
  <c r="K811" i="1"/>
  <c r="K912" i="1"/>
  <c r="K882" i="1"/>
  <c r="K942" i="1"/>
  <c r="K397" i="1"/>
  <c r="K130" i="1"/>
  <c r="K3" i="1"/>
  <c r="K724" i="1"/>
  <c r="K281" i="1"/>
  <c r="K180" i="1"/>
  <c r="K426" i="1"/>
  <c r="K641" i="1"/>
  <c r="K711" i="1"/>
  <c r="K630" i="1"/>
  <c r="K195" i="1"/>
  <c r="K5" i="1"/>
  <c r="K207" i="1"/>
  <c r="K749" i="1"/>
  <c r="K800" i="1"/>
  <c r="K994" i="1"/>
  <c r="K697" i="1"/>
  <c r="K605" i="1"/>
  <c r="K567" i="1"/>
  <c r="K873" i="1"/>
  <c r="K533" i="1"/>
  <c r="K47" i="1"/>
  <c r="K315" i="1"/>
  <c r="K609" i="1"/>
  <c r="K85" i="1"/>
  <c r="K739" i="1"/>
  <c r="K852" i="1"/>
  <c r="K323" i="1"/>
  <c r="K653" i="1"/>
  <c r="K825" i="1"/>
  <c r="K275" i="1"/>
  <c r="K808" i="1"/>
  <c r="K375" i="1"/>
  <c r="K395" i="1"/>
  <c r="K885" i="1"/>
  <c r="K877" i="1"/>
  <c r="K816" i="1"/>
  <c r="K577" i="1"/>
  <c r="K704" i="1"/>
  <c r="K471" i="1"/>
  <c r="K773" i="1"/>
  <c r="K183" i="1"/>
  <c r="K162" i="1"/>
  <c r="K458" i="1"/>
  <c r="K903" i="1"/>
  <c r="K691" i="1"/>
  <c r="K626" i="1"/>
  <c r="K574" i="1"/>
  <c r="K41" i="1"/>
  <c r="K503" i="1"/>
  <c r="K89" i="1"/>
  <c r="K935" i="1"/>
  <c r="K468" i="1"/>
  <c r="K769" i="1"/>
  <c r="K836" i="1"/>
  <c r="K349" i="1"/>
  <c r="K491" i="1"/>
  <c r="K239" i="1"/>
  <c r="K95" i="1"/>
  <c r="K621" i="1"/>
  <c r="K416" i="1"/>
  <c r="K587" i="1"/>
  <c r="K116" i="1"/>
  <c r="K874" i="1"/>
  <c r="K404" i="1"/>
  <c r="K916" i="1"/>
  <c r="K570" i="1"/>
  <c r="K428" i="1"/>
  <c r="K98" i="1"/>
  <c r="K521" i="1"/>
  <c r="K462" i="1"/>
  <c r="K79" i="1"/>
  <c r="K292" i="1"/>
  <c r="K771" i="1"/>
  <c r="K779" i="1"/>
  <c r="K849" i="1"/>
  <c r="K472" i="1"/>
  <c r="K102" i="1"/>
  <c r="K294" i="1"/>
  <c r="K427" i="1"/>
  <c r="K866" i="1"/>
  <c r="K679" i="1"/>
  <c r="K169" i="1"/>
  <c r="K680" i="1"/>
  <c r="K842" i="1"/>
  <c r="K355" i="1"/>
  <c r="K241" i="1"/>
  <c r="K940" i="1"/>
  <c r="K26" i="1"/>
  <c r="K806" i="1"/>
  <c r="K30" i="1"/>
  <c r="K598" i="1"/>
  <c r="K547" i="1"/>
  <c r="K712" i="1"/>
  <c r="K328" i="1"/>
  <c r="K214" i="1"/>
  <c r="K650" i="1"/>
  <c r="K450" i="1"/>
  <c r="K606" i="1"/>
  <c r="K708" i="1"/>
  <c r="K513" i="1"/>
  <c r="K833" i="1"/>
  <c r="K617" i="1"/>
  <c r="K705" i="1"/>
  <c r="K126" i="1"/>
  <c r="K603" i="1"/>
  <c r="K540" i="1"/>
  <c r="K878" i="1"/>
  <c r="K952" i="1"/>
  <c r="K209" i="1"/>
  <c r="K189" i="1"/>
  <c r="K895" i="1"/>
  <c r="K140" i="1"/>
  <c r="K504" i="1"/>
  <c r="K313" i="1"/>
  <c r="K745" i="1"/>
  <c r="K839" i="1"/>
  <c r="K230" i="1"/>
  <c r="K610" i="1"/>
  <c r="K424" i="1"/>
  <c r="K642" i="1"/>
  <c r="K227" i="1"/>
  <c r="K517" i="1"/>
  <c r="K125" i="1"/>
  <c r="K599" i="1"/>
  <c r="K575" i="1"/>
  <c r="K120" i="1"/>
  <c r="K204" i="1"/>
  <c r="K995" i="1"/>
  <c r="K295" i="1"/>
  <c r="K332" i="1"/>
  <c r="K634" i="1"/>
  <c r="K20" i="1"/>
  <c r="K588" i="1"/>
  <c r="K259" i="1"/>
  <c r="K734" i="1"/>
  <c r="K883" i="1"/>
  <c r="K488" i="1"/>
  <c r="K818" i="1"/>
  <c r="K752" i="1"/>
  <c r="K879" i="1"/>
  <c r="K48" i="1"/>
  <c r="K425" i="1"/>
  <c r="K390" i="1"/>
  <c r="K184" i="1"/>
  <c r="K538" i="1"/>
  <c r="K510" i="1"/>
  <c r="K114" i="1"/>
  <c r="K152" i="1"/>
  <c r="K844" i="1"/>
  <c r="K613" i="1"/>
  <c r="K376" i="1"/>
  <c r="K505" i="1"/>
  <c r="K953" i="1"/>
  <c r="K896" i="1"/>
  <c r="K215" i="1"/>
  <c r="K807" i="1"/>
  <c r="K347" i="1"/>
  <c r="K174" i="1"/>
  <c r="K391" i="1"/>
  <c r="K107" i="1"/>
  <c r="K939" i="1"/>
  <c r="K414" i="1"/>
  <c r="K501" i="1"/>
  <c r="K693" i="1"/>
  <c r="K762" i="1"/>
  <c r="K671" i="1"/>
  <c r="K436" i="1"/>
  <c r="K475" i="1"/>
  <c r="K254" i="1"/>
  <c r="K185" i="1"/>
  <c r="K999" i="1"/>
  <c r="K271" i="1"/>
  <c r="K861" i="1"/>
  <c r="K235" i="1"/>
  <c r="K121" i="1"/>
  <c r="K801" i="1"/>
  <c r="K399" i="1"/>
  <c r="K408" i="1"/>
  <c r="K677" i="1"/>
  <c r="K442" i="1"/>
  <c r="K721" i="1"/>
  <c r="K367" i="1"/>
  <c r="K536" i="1"/>
  <c r="K812" i="1"/>
  <c r="K658" i="1"/>
  <c r="K545" i="1"/>
  <c r="K73" i="1"/>
  <c r="K392" i="1"/>
  <c r="K509" i="1"/>
  <c r="K795" i="1"/>
  <c r="K539" i="1"/>
  <c r="K176" i="1"/>
  <c r="K775" i="1"/>
  <c r="K56" i="1"/>
  <c r="K631" i="1"/>
  <c r="K443" i="1"/>
  <c r="K709" i="1"/>
  <c r="K24" i="1"/>
  <c r="K965" i="1"/>
  <c r="K813" i="1"/>
  <c r="K731" i="1"/>
  <c r="K39" i="1"/>
  <c r="K431" i="1"/>
  <c r="K855" i="1"/>
  <c r="K284" i="1"/>
  <c r="K237" i="1"/>
  <c r="K853" i="1"/>
  <c r="K311" i="1"/>
  <c r="K437" i="1"/>
  <c r="K948" i="1"/>
  <c r="K59" i="1"/>
  <c r="K919" i="1"/>
  <c r="K371" i="1"/>
  <c r="K336" i="1"/>
  <c r="K80" i="1"/>
  <c r="K8" i="1"/>
  <c r="K908" i="1"/>
  <c r="K132" i="1"/>
  <c r="K242" i="1"/>
  <c r="K257" i="1"/>
  <c r="K159" i="1"/>
  <c r="K732" i="1"/>
  <c r="K268" i="1"/>
  <c r="K258" i="1"/>
  <c r="K243" i="1"/>
  <c r="K128" i="1"/>
  <c r="K451" i="1"/>
  <c r="K463" i="1"/>
  <c r="K969" i="1"/>
  <c r="K225" i="1"/>
  <c r="K511" i="1"/>
  <c r="K628" i="1"/>
  <c r="K664" i="1"/>
  <c r="K122" i="1"/>
  <c r="K91" i="1"/>
  <c r="K459" i="1"/>
  <c r="K682" i="1"/>
  <c r="K190" i="1"/>
  <c r="K644" i="1"/>
  <c r="K354" i="1"/>
  <c r="K476" i="1"/>
  <c r="K396" i="1"/>
  <c r="K525" i="1"/>
  <c r="K117" i="1"/>
  <c r="K248" i="1"/>
  <c r="K34" i="1"/>
  <c r="K344" i="1"/>
  <c r="K40" i="1"/>
  <c r="K834" i="1"/>
  <c r="K557" i="1"/>
  <c r="K400" i="1"/>
  <c r="K841" i="1"/>
  <c r="K928" i="1"/>
  <c r="K774" i="1"/>
  <c r="K698" i="1"/>
  <c r="K977" i="1"/>
  <c r="K743" i="1"/>
  <c r="K646" i="1"/>
  <c r="K191" i="1"/>
  <c r="K618" i="1"/>
  <c r="K368" i="1"/>
  <c r="K944" i="1"/>
  <c r="K18" i="1"/>
  <c r="K340" i="1"/>
  <c r="K449" i="1"/>
  <c r="K422" i="1"/>
  <c r="K660" i="1"/>
  <c r="K571" i="1"/>
  <c r="K21" i="1"/>
  <c r="K405" i="1"/>
  <c r="K342" i="1"/>
  <c r="K640" i="1"/>
  <c r="K753" i="1"/>
  <c r="K941" i="1"/>
  <c r="K100" i="1"/>
  <c r="K524" i="1"/>
  <c r="K22" i="1"/>
  <c r="K738" i="1"/>
  <c r="K250" i="1"/>
  <c r="K267" i="1"/>
  <c r="K550" i="1"/>
  <c r="K978" i="1"/>
  <c r="K141" i="1"/>
  <c r="K886" i="1"/>
  <c r="K897" i="1"/>
  <c r="K289" i="1"/>
  <c r="K956" i="1"/>
  <c r="K23" i="1"/>
  <c r="K111" i="1"/>
  <c r="K949" i="1"/>
  <c r="K703" i="1"/>
  <c r="K324" i="1"/>
  <c r="K456" i="1"/>
  <c r="K486" i="1"/>
  <c r="K929" i="1"/>
  <c r="K123" i="1"/>
  <c r="K438" i="1"/>
  <c r="K496" i="1"/>
  <c r="K592" i="1"/>
  <c r="K483" i="1"/>
  <c r="K572" i="1"/>
  <c r="K727" i="1"/>
  <c r="K417" i="1"/>
  <c r="K378" i="1"/>
  <c r="K352" i="1"/>
  <c r="K635" i="1"/>
  <c r="K871" i="1"/>
  <c r="K909" i="1"/>
  <c r="K672" i="1"/>
  <c r="K810" i="1"/>
  <c r="K507" i="1"/>
  <c r="K251" i="1"/>
  <c r="K600" i="1"/>
  <c r="K198" i="1"/>
  <c r="K584" i="1"/>
  <c r="K820" i="1"/>
  <c r="K985" i="1"/>
  <c r="K345" i="1"/>
  <c r="K62" i="1"/>
  <c r="K13" i="1"/>
  <c r="K776" i="1"/>
  <c r="K647" i="1"/>
  <c r="K156" i="1"/>
  <c r="K478" i="1"/>
  <c r="K674" i="1"/>
  <c r="K444" i="1"/>
  <c r="K902" i="1"/>
  <c r="K722" i="1"/>
  <c r="K645" i="1"/>
  <c r="K548" i="1"/>
  <c r="K589" i="1"/>
  <c r="K814" i="1"/>
  <c r="K454" i="1"/>
  <c r="K737" i="1"/>
  <c r="K170" i="1"/>
  <c r="K862" i="1"/>
  <c r="K419" i="1"/>
  <c r="K580" i="1"/>
  <c r="K884" i="1"/>
  <c r="K398" i="1"/>
  <c r="K493" i="1"/>
  <c r="K706" i="1"/>
  <c r="K683" i="1"/>
  <c r="K42" i="1"/>
  <c r="K786" i="1"/>
  <c r="K804" i="1"/>
  <c r="K58" i="1"/>
  <c r="K150" i="1"/>
  <c r="K360" i="1"/>
  <c r="K286" i="1"/>
  <c r="K880" i="1"/>
  <c r="K796" i="1"/>
  <c r="K452" i="1"/>
  <c r="K193" i="1"/>
  <c r="K986" i="1"/>
  <c r="K685" i="1"/>
  <c r="K526" i="1"/>
  <c r="K974" i="1"/>
  <c r="K6" i="1"/>
  <c r="K93" i="1"/>
  <c r="K696" i="1"/>
  <c r="K815" i="1"/>
  <c r="K70" i="1"/>
  <c r="K223" i="1"/>
  <c r="K906" i="1"/>
  <c r="K350" i="1"/>
  <c r="K875" i="1"/>
  <c r="K991" i="1"/>
  <c r="K832" i="1"/>
  <c r="K975" i="1"/>
  <c r="K669" i="1"/>
  <c r="K153" i="1"/>
  <c r="K893" i="1"/>
  <c r="K907" i="1"/>
  <c r="K568" i="1"/>
  <c r="K145" i="1"/>
  <c r="K482" i="1"/>
  <c r="K346" i="1"/>
  <c r="K924" i="1"/>
  <c r="K406" i="1"/>
  <c r="K338" i="1"/>
  <c r="K439" i="1"/>
  <c r="K754" i="1"/>
  <c r="K826" i="1"/>
  <c r="K552" i="1"/>
  <c r="K124" i="1"/>
  <c r="K115" i="1"/>
  <c r="K543" i="1"/>
  <c r="K335" i="1"/>
  <c r="K856" i="1"/>
  <c r="K178" i="1"/>
  <c r="K477" i="1"/>
  <c r="K369" i="1"/>
  <c r="K374" i="1"/>
  <c r="K699" i="1"/>
  <c r="K232" i="1"/>
  <c r="K947" i="1"/>
  <c r="K63" i="1"/>
  <c r="K210" i="1"/>
  <c r="K309" i="1"/>
  <c r="K802" i="1"/>
  <c r="K71" i="1"/>
  <c r="K129" i="1"/>
  <c r="K784" i="1"/>
  <c r="K694" i="1"/>
  <c r="K9" i="1"/>
  <c r="K469" i="1"/>
  <c r="K155" i="1"/>
  <c r="K201" i="1"/>
  <c r="K569" i="1"/>
  <c r="K817" i="1"/>
  <c r="K790" i="1"/>
  <c r="K359" i="1"/>
  <c r="K109" i="1"/>
  <c r="K197" i="1"/>
  <c r="K887" i="1"/>
  <c r="C10" i="6"/>
  <c r="H5" i="6"/>
  <c r="E5" i="6"/>
  <c r="B5" i="6"/>
  <c r="C12" i="6" l="1"/>
</calcChain>
</file>

<file path=xl/sharedStrings.xml><?xml version="1.0" encoding="utf-8"?>
<sst xmlns="http://schemas.openxmlformats.org/spreadsheetml/2006/main" count="6110" uniqueCount="623">
  <si>
    <t>Date</t>
  </si>
  <si>
    <t>Month</t>
  </si>
  <si>
    <t>Income Source</t>
  </si>
  <si>
    <t>Expense Category</t>
  </si>
  <si>
    <t>Transaction Type</t>
  </si>
  <si>
    <t>Amount (INR)</t>
  </si>
  <si>
    <t>Payment Mode</t>
  </si>
  <si>
    <t>Investment Type</t>
  </si>
  <si>
    <t>Return %</t>
  </si>
  <si>
    <t>City</t>
  </si>
  <si>
    <t>2025-10-16</t>
  </si>
  <si>
    <t>2024-05-22</t>
  </si>
  <si>
    <t>2024-04-05</t>
  </si>
  <si>
    <t>2024-07-22</t>
  </si>
  <si>
    <t>2024-10-11</t>
  </si>
  <si>
    <t>2024-06-08</t>
  </si>
  <si>
    <t>2025-01-24</t>
  </si>
  <si>
    <t>2024-02-14</t>
  </si>
  <si>
    <t>2024-10-27</t>
  </si>
  <si>
    <t>2024-02-16</t>
  </si>
  <si>
    <t>2024-12-29</t>
  </si>
  <si>
    <t>2025-06-30</t>
  </si>
  <si>
    <t>2025-10-17</t>
  </si>
  <si>
    <t>2024-08-22</t>
  </si>
  <si>
    <t>2024-11-18</t>
  </si>
  <si>
    <t>2024-05-26</t>
  </si>
  <si>
    <t>2025-08-21</t>
  </si>
  <si>
    <t>2025-06-05</t>
  </si>
  <si>
    <t>2025-11-27</t>
  </si>
  <si>
    <t>2025-04-24</t>
  </si>
  <si>
    <t>2025-11-29</t>
  </si>
  <si>
    <t>2024-06-10</t>
  </si>
  <si>
    <t>2024-04-18</t>
  </si>
  <si>
    <t>2025-01-17</t>
  </si>
  <si>
    <t>2024-01-20</t>
  </si>
  <si>
    <t>2024-09-03</t>
  </si>
  <si>
    <t>2024-05-08</t>
  </si>
  <si>
    <t>2025-06-24</t>
  </si>
  <si>
    <t>2025-12-31</t>
  </si>
  <si>
    <t>2024-05-03</t>
  </si>
  <si>
    <t>2025-07-21</t>
  </si>
  <si>
    <t>2024-08-31</t>
  </si>
  <si>
    <t>2025-08-07</t>
  </si>
  <si>
    <t>2024-04-06</t>
  </si>
  <si>
    <t>2025-04-23</t>
  </si>
  <si>
    <t>2024-03-03</t>
  </si>
  <si>
    <t>2024-07-13</t>
  </si>
  <si>
    <t>2025-04-18</t>
  </si>
  <si>
    <t>2024-02-21</t>
  </si>
  <si>
    <t>2025-02-20</t>
  </si>
  <si>
    <t>2025-01-23</t>
  </si>
  <si>
    <t>2025-03-09</t>
  </si>
  <si>
    <t>2024-08-10</t>
  </si>
  <si>
    <t>2024-07-09</t>
  </si>
  <si>
    <t>2025-08-06</t>
  </si>
  <si>
    <t>2025-03-05</t>
  </si>
  <si>
    <t>2024-09-01</t>
  </si>
  <si>
    <t>2024-03-15</t>
  </si>
  <si>
    <t>2025-07-04</t>
  </si>
  <si>
    <t>2024-09-07</t>
  </si>
  <si>
    <t>2025-09-18</t>
  </si>
  <si>
    <t>2025-11-10</t>
  </si>
  <si>
    <t>2025-07-20</t>
  </si>
  <si>
    <t>2024-07-27</t>
  </si>
  <si>
    <t>2024-02-22</t>
  </si>
  <si>
    <t>2024-12-07</t>
  </si>
  <si>
    <t>2025-07-18</t>
  </si>
  <si>
    <t>2025-07-12</t>
  </si>
  <si>
    <t>2025-03-16</t>
  </si>
  <si>
    <t>2024-08-03</t>
  </si>
  <si>
    <t>2025-09-27</t>
  </si>
  <si>
    <t>2024-01-26</t>
  </si>
  <si>
    <t>2024-09-30</t>
  </si>
  <si>
    <t>2025-04-26</t>
  </si>
  <si>
    <t>2024-08-21</t>
  </si>
  <si>
    <t>2024-10-12</t>
  </si>
  <si>
    <t>2024-12-05</t>
  </si>
  <si>
    <t>2024-04-21</t>
  </si>
  <si>
    <t>2025-06-07</t>
  </si>
  <si>
    <t>2025-12-26</t>
  </si>
  <si>
    <t>2025-11-11</t>
  </si>
  <si>
    <t>2025-06-03</t>
  </si>
  <si>
    <t>2025-09-22</t>
  </si>
  <si>
    <t>2024-10-20</t>
  </si>
  <si>
    <t>2025-04-21</t>
  </si>
  <si>
    <t>2025-11-05</t>
  </si>
  <si>
    <t>2024-08-28</t>
  </si>
  <si>
    <t>2024-02-17</t>
  </si>
  <si>
    <t>2025-02-28</t>
  </si>
  <si>
    <t>2025-02-13</t>
  </si>
  <si>
    <t>2024-08-12</t>
  </si>
  <si>
    <t>2025-07-24</t>
  </si>
  <si>
    <t>2025-04-20</t>
  </si>
  <si>
    <t>2025-03-12</t>
  </si>
  <si>
    <t>2025-04-05</t>
  </si>
  <si>
    <t>2025-10-03</t>
  </si>
  <si>
    <t>2024-06-03</t>
  </si>
  <si>
    <t>2024-03-06</t>
  </si>
  <si>
    <t>2024-03-04</t>
  </si>
  <si>
    <t>2025-08-12</t>
  </si>
  <si>
    <t>2025-03-22</t>
  </si>
  <si>
    <t>2024-06-18</t>
  </si>
  <si>
    <t>2025-07-31</t>
  </si>
  <si>
    <t>2024-07-05</t>
  </si>
  <si>
    <t>2024-11-30</t>
  </si>
  <si>
    <t>2024-03-24</t>
  </si>
  <si>
    <t>2025-10-29</t>
  </si>
  <si>
    <t>2025-09-28</t>
  </si>
  <si>
    <t>2025-09-13</t>
  </si>
  <si>
    <t>2024-04-20</t>
  </si>
  <si>
    <t>2025-02-10</t>
  </si>
  <si>
    <t>2024-04-14</t>
  </si>
  <si>
    <t>2025-08-02</t>
  </si>
  <si>
    <t>2024-03-11</t>
  </si>
  <si>
    <t>2025-03-21</t>
  </si>
  <si>
    <t>2025-05-10</t>
  </si>
  <si>
    <t>2024-12-10</t>
  </si>
  <si>
    <t>2024-08-05</t>
  </si>
  <si>
    <t>2025-12-19</t>
  </si>
  <si>
    <t>2024-09-04</t>
  </si>
  <si>
    <t>2025-10-23</t>
  </si>
  <si>
    <t>2024-10-28</t>
  </si>
  <si>
    <t>2025-01-12</t>
  </si>
  <si>
    <t>2024-12-04</t>
  </si>
  <si>
    <t>2024-08-24</t>
  </si>
  <si>
    <t>2025-12-07</t>
  </si>
  <si>
    <t>2025-06-21</t>
  </si>
  <si>
    <t>2025-01-04</t>
  </si>
  <si>
    <t>2024-04-15</t>
  </si>
  <si>
    <t>2024-07-07</t>
  </si>
  <si>
    <t>2025-05-18</t>
  </si>
  <si>
    <t>2025-07-30</t>
  </si>
  <si>
    <t>2025-09-02</t>
  </si>
  <si>
    <t>2025-03-29</t>
  </si>
  <si>
    <t>2024-09-27</t>
  </si>
  <si>
    <t>2024-03-17</t>
  </si>
  <si>
    <t>2025-12-20</t>
  </si>
  <si>
    <t>2025-11-08</t>
  </si>
  <si>
    <t>2024-09-29</t>
  </si>
  <si>
    <t>2025-08-05</t>
  </si>
  <si>
    <t>2024-10-05</t>
  </si>
  <si>
    <t>2024-02-10</t>
  </si>
  <si>
    <t>2025-08-13</t>
  </si>
  <si>
    <t>2025-10-12</t>
  </si>
  <si>
    <t>2025-11-17</t>
  </si>
  <si>
    <t>2024-10-22</t>
  </si>
  <si>
    <t>2024-03-31</t>
  </si>
  <si>
    <t>2024-01-02</t>
  </si>
  <si>
    <t>2025-06-14</t>
  </si>
  <si>
    <t>2024-05-04</t>
  </si>
  <si>
    <t>2024-11-14</t>
  </si>
  <si>
    <t>2025-04-17</t>
  </si>
  <si>
    <t>2025-04-12</t>
  </si>
  <si>
    <t>2024-05-19</t>
  </si>
  <si>
    <t>2024-01-03</t>
  </si>
  <si>
    <t>2024-06-01</t>
  </si>
  <si>
    <t>2025-07-10</t>
  </si>
  <si>
    <t>2025-08-08</t>
  </si>
  <si>
    <t>2025-12-23</t>
  </si>
  <si>
    <t>2025-05-22</t>
  </si>
  <si>
    <t>2025-03-26</t>
  </si>
  <si>
    <t>2025-02-23</t>
  </si>
  <si>
    <t>2025-09-30</t>
  </si>
  <si>
    <t>2024-02-06</t>
  </si>
  <si>
    <t>2024-08-20</t>
  </si>
  <si>
    <t>2025-03-30</t>
  </si>
  <si>
    <t>2024-02-27</t>
  </si>
  <si>
    <t>2025-06-27</t>
  </si>
  <si>
    <t>2025-09-16</t>
  </si>
  <si>
    <t>2024-08-25</t>
  </si>
  <si>
    <t>2025-08-24</t>
  </si>
  <si>
    <t>2025-08-11</t>
  </si>
  <si>
    <t>2024-10-08</t>
  </si>
  <si>
    <t>2025-10-13</t>
  </si>
  <si>
    <t>2025-10-04</t>
  </si>
  <si>
    <t>2025-08-16</t>
  </si>
  <si>
    <t>2025-03-01</t>
  </si>
  <si>
    <t>2025-05-28</t>
  </si>
  <si>
    <t>2024-12-12</t>
  </si>
  <si>
    <t>2024-05-06</t>
  </si>
  <si>
    <t>2024-12-01</t>
  </si>
  <si>
    <t>2025-10-26</t>
  </si>
  <si>
    <t>2025-05-19</t>
  </si>
  <si>
    <t>2025-04-09</t>
  </si>
  <si>
    <t>2024-02-03</t>
  </si>
  <si>
    <t>2025-01-06</t>
  </si>
  <si>
    <t>2025-11-09</t>
  </si>
  <si>
    <t>2024-09-13</t>
  </si>
  <si>
    <t>2025-01-01</t>
  </si>
  <si>
    <t>2024-06-27</t>
  </si>
  <si>
    <t>2025-04-07</t>
  </si>
  <si>
    <t>2024-11-04</t>
  </si>
  <si>
    <t>2024-03-23</t>
  </si>
  <si>
    <t>2025-10-01</t>
  </si>
  <si>
    <t>2025-11-01</t>
  </si>
  <si>
    <t>2025-02-27</t>
  </si>
  <si>
    <t>2024-11-16</t>
  </si>
  <si>
    <t>2024-03-09</t>
  </si>
  <si>
    <t>2025-01-16</t>
  </si>
  <si>
    <t>2024-12-03</t>
  </si>
  <si>
    <t>2025-07-23</t>
  </si>
  <si>
    <t>2025-07-28</t>
  </si>
  <si>
    <t>2025-09-15</t>
  </si>
  <si>
    <t>2024-12-13</t>
  </si>
  <si>
    <t>2024-03-12</t>
  </si>
  <si>
    <t>2024-08-08</t>
  </si>
  <si>
    <t>2024-11-15</t>
  </si>
  <si>
    <t>2025-09-24</t>
  </si>
  <si>
    <t>2025-05-12</t>
  </si>
  <si>
    <t>2024-04-26</t>
  </si>
  <si>
    <t>2025-05-13</t>
  </si>
  <si>
    <t>2025-09-05</t>
  </si>
  <si>
    <t>2024-09-18</t>
  </si>
  <si>
    <t>2024-06-28</t>
  </si>
  <si>
    <t>2025-11-15</t>
  </si>
  <si>
    <t>2025-08-10</t>
  </si>
  <si>
    <t>2024-01-22</t>
  </si>
  <si>
    <t>2025-03-23</t>
  </si>
  <si>
    <t>2025-02-09</t>
  </si>
  <si>
    <t>2025-06-06</t>
  </si>
  <si>
    <t>2024-08-29</t>
  </si>
  <si>
    <t>2024-06-05</t>
  </si>
  <si>
    <t>2024-11-26</t>
  </si>
  <si>
    <t>2025-03-28</t>
  </si>
  <si>
    <t>2025-08-31</t>
  </si>
  <si>
    <t>2024-03-27</t>
  </si>
  <si>
    <t>2025-03-25</t>
  </si>
  <si>
    <t>2025-01-31</t>
  </si>
  <si>
    <t>2025-10-08</t>
  </si>
  <si>
    <t>2025-11-25</t>
  </si>
  <si>
    <t>2024-06-02</t>
  </si>
  <si>
    <t>2024-05-12</t>
  </si>
  <si>
    <t>2025-10-20</t>
  </si>
  <si>
    <t>2024-08-19</t>
  </si>
  <si>
    <t>2025-07-06</t>
  </si>
  <si>
    <t>2025-09-03</t>
  </si>
  <si>
    <t>2024-11-12</t>
  </si>
  <si>
    <t>2024-06-14</t>
  </si>
  <si>
    <t>2025-01-15</t>
  </si>
  <si>
    <t>2024-03-26</t>
  </si>
  <si>
    <t>2024-05-29</t>
  </si>
  <si>
    <t>2025-04-13</t>
  </si>
  <si>
    <t>2024-01-17</t>
  </si>
  <si>
    <t>2025-03-15</t>
  </si>
  <si>
    <t>2024-07-10</t>
  </si>
  <si>
    <t>2025-06-22</t>
  </si>
  <si>
    <t>2024-12-31</t>
  </si>
  <si>
    <t>2025-08-18</t>
  </si>
  <si>
    <t>2025-07-13</t>
  </si>
  <si>
    <t>2024-02-07</t>
  </si>
  <si>
    <t>2024-11-13</t>
  </si>
  <si>
    <t>2024-10-19</t>
  </si>
  <si>
    <t>2024-05-07</t>
  </si>
  <si>
    <t>2025-01-30</t>
  </si>
  <si>
    <t>2025-01-11</t>
  </si>
  <si>
    <t>2024-03-21</t>
  </si>
  <si>
    <t>2025-09-09</t>
  </si>
  <si>
    <t>2025-04-02</t>
  </si>
  <si>
    <t>2025-01-07</t>
  </si>
  <si>
    <t>2025-10-22</t>
  </si>
  <si>
    <t>2024-06-06</t>
  </si>
  <si>
    <t>2024-09-12</t>
  </si>
  <si>
    <t>2024-04-30</t>
  </si>
  <si>
    <t>2024-03-16</t>
  </si>
  <si>
    <t>2025-11-14</t>
  </si>
  <si>
    <t>2024-11-03</t>
  </si>
  <si>
    <t>2025-01-05</t>
  </si>
  <si>
    <t>2025-05-20</t>
  </si>
  <si>
    <t>2025-05-05</t>
  </si>
  <si>
    <t>2024-11-20</t>
  </si>
  <si>
    <t>2024-12-18</t>
  </si>
  <si>
    <t>2025-12-27</t>
  </si>
  <si>
    <t>2024-07-20</t>
  </si>
  <si>
    <t>2025-09-21</t>
  </si>
  <si>
    <t>2024-06-24</t>
  </si>
  <si>
    <t>2024-10-23</t>
  </si>
  <si>
    <t>2024-10-31</t>
  </si>
  <si>
    <t>2024-11-22</t>
  </si>
  <si>
    <t>2025-06-11</t>
  </si>
  <si>
    <t>2025-01-28</t>
  </si>
  <si>
    <t>2025-08-14</t>
  </si>
  <si>
    <t>2025-02-06</t>
  </si>
  <si>
    <t>2024-02-19</t>
  </si>
  <si>
    <t>2025-01-09</t>
  </si>
  <si>
    <t>2024-05-01</t>
  </si>
  <si>
    <t>2025-07-25</t>
  </si>
  <si>
    <t>2024-02-11</t>
  </si>
  <si>
    <t>2024-01-18</t>
  </si>
  <si>
    <t>2025-12-05</t>
  </si>
  <si>
    <t>2025-06-20</t>
  </si>
  <si>
    <t>2024-02-02</t>
  </si>
  <si>
    <t>2024-11-17</t>
  </si>
  <si>
    <t>2024-07-31</t>
  </si>
  <si>
    <t>2024-06-26</t>
  </si>
  <si>
    <t>2024-08-18</t>
  </si>
  <si>
    <t>2025-11-23</t>
  </si>
  <si>
    <t>2024-02-13</t>
  </si>
  <si>
    <t>2025-11-02</t>
  </si>
  <si>
    <t>2024-10-04</t>
  </si>
  <si>
    <t>2024-09-02</t>
  </si>
  <si>
    <t>2024-02-23</t>
  </si>
  <si>
    <t>2024-01-06</t>
  </si>
  <si>
    <t>2025-10-28</t>
  </si>
  <si>
    <t>2024-04-01</t>
  </si>
  <si>
    <t>2024-04-19</t>
  </si>
  <si>
    <t>2024-07-16</t>
  </si>
  <si>
    <t>2024-03-29</t>
  </si>
  <si>
    <t>2024-11-27</t>
  </si>
  <si>
    <t>2025-12-10</t>
  </si>
  <si>
    <t>2024-06-12</t>
  </si>
  <si>
    <t>2025-04-10</t>
  </si>
  <si>
    <t>2025-04-27</t>
  </si>
  <si>
    <t>2025-05-15</t>
  </si>
  <si>
    <t>2024-05-15</t>
  </si>
  <si>
    <t>2024-09-17</t>
  </si>
  <si>
    <t>2025-01-18</t>
  </si>
  <si>
    <t>2024-07-01</t>
  </si>
  <si>
    <t>2024-01-24</t>
  </si>
  <si>
    <t>2024-09-10</t>
  </si>
  <si>
    <t>2025-02-15</t>
  </si>
  <si>
    <t>2025-09-04</t>
  </si>
  <si>
    <t>2025-11-07</t>
  </si>
  <si>
    <t>2025-12-14</t>
  </si>
  <si>
    <t>2025-04-19</t>
  </si>
  <si>
    <t>2024-05-17</t>
  </si>
  <si>
    <t>2024-10-01</t>
  </si>
  <si>
    <t>2025-11-18</t>
  </si>
  <si>
    <t>2024-01-16</t>
  </si>
  <si>
    <t>2024-09-05</t>
  </si>
  <si>
    <t>2024-11-25</t>
  </si>
  <si>
    <t>2024-11-11</t>
  </si>
  <si>
    <t>2025-04-25</t>
  </si>
  <si>
    <t>2024-10-29</t>
  </si>
  <si>
    <t>2024-09-08</t>
  </si>
  <si>
    <t>2025-04-16</t>
  </si>
  <si>
    <t>2024-03-10</t>
  </si>
  <si>
    <t>2025-06-26</t>
  </si>
  <si>
    <t>2024-07-02</t>
  </si>
  <si>
    <t>2024-07-15</t>
  </si>
  <si>
    <t>2025-10-14</t>
  </si>
  <si>
    <t>2024-08-04</t>
  </si>
  <si>
    <t>2025-12-01</t>
  </si>
  <si>
    <t>2024-03-19</t>
  </si>
  <si>
    <t>2025-11-24</t>
  </si>
  <si>
    <t>2025-05-27</t>
  </si>
  <si>
    <t>2024-12-30</t>
  </si>
  <si>
    <t>2024-03-25</t>
  </si>
  <si>
    <t>2025-01-03</t>
  </si>
  <si>
    <t>2025-03-17</t>
  </si>
  <si>
    <t>2024-12-28</t>
  </si>
  <si>
    <t>2025-06-17</t>
  </si>
  <si>
    <t>2024-10-09</t>
  </si>
  <si>
    <t>2024-09-14</t>
  </si>
  <si>
    <t>2025-01-08</t>
  </si>
  <si>
    <t>2024-07-03</t>
  </si>
  <si>
    <t>2025-03-24</t>
  </si>
  <si>
    <t>2025-08-19</t>
  </si>
  <si>
    <t>2024-09-11</t>
  </si>
  <si>
    <t>2024-02-15</t>
  </si>
  <si>
    <t>2024-01-11</t>
  </si>
  <si>
    <t>2024-04-17</t>
  </si>
  <si>
    <t>2024-12-22</t>
  </si>
  <si>
    <t>2025-05-09</t>
  </si>
  <si>
    <t>2025-10-25</t>
  </si>
  <si>
    <t>2025-06-12</t>
  </si>
  <si>
    <t>2024-11-29</t>
  </si>
  <si>
    <t>2024-11-08</t>
  </si>
  <si>
    <t>2025-03-04</t>
  </si>
  <si>
    <t>2025-01-02</t>
  </si>
  <si>
    <t>2025-06-01</t>
  </si>
  <si>
    <t>2025-08-09</t>
  </si>
  <si>
    <t>2024-02-12</t>
  </si>
  <si>
    <t>2024-09-26</t>
  </si>
  <si>
    <t>2024-08-02</t>
  </si>
  <si>
    <t>2025-10-09</t>
  </si>
  <si>
    <t>2024-05-18</t>
  </si>
  <si>
    <t>2025-05-16</t>
  </si>
  <si>
    <t>2025-01-19</t>
  </si>
  <si>
    <t>2025-12-12</t>
  </si>
  <si>
    <t>2024-03-05</t>
  </si>
  <si>
    <t>2025-05-21</t>
  </si>
  <si>
    <t>2025-10-27</t>
  </si>
  <si>
    <t>2025-10-02</t>
  </si>
  <si>
    <t>2025-12-21</t>
  </si>
  <si>
    <t>2025-08-30</t>
  </si>
  <si>
    <t>2025-12-13</t>
  </si>
  <si>
    <t>2025-05-04</t>
  </si>
  <si>
    <t>2025-10-18</t>
  </si>
  <si>
    <t>2025-02-25</t>
  </si>
  <si>
    <t>2024-04-12</t>
  </si>
  <si>
    <t>2024-12-25</t>
  </si>
  <si>
    <t>2025-02-11</t>
  </si>
  <si>
    <t>2025-02-04</t>
  </si>
  <si>
    <t>2024-05-02</t>
  </si>
  <si>
    <t>2024-12-21</t>
  </si>
  <si>
    <t>2024-10-02</t>
  </si>
  <si>
    <t>2025-05-23</t>
  </si>
  <si>
    <t>2024-06-19</t>
  </si>
  <si>
    <t>2025-11-21</t>
  </si>
  <si>
    <t>2024-08-17</t>
  </si>
  <si>
    <t>2024-01-07</t>
  </si>
  <si>
    <t>2024-12-09</t>
  </si>
  <si>
    <t>2024-04-16</t>
  </si>
  <si>
    <t>2024-05-25</t>
  </si>
  <si>
    <t>2025-02-26</t>
  </si>
  <si>
    <t>2025-08-17</t>
  </si>
  <si>
    <t>2025-08-04</t>
  </si>
  <si>
    <t>2024-09-24</t>
  </si>
  <si>
    <t>2025-04-22</t>
  </si>
  <si>
    <t>2025-12-03</t>
  </si>
  <si>
    <t>2024-04-03</t>
  </si>
  <si>
    <t>2025-04-08</t>
  </si>
  <si>
    <t>2024-05-23</t>
  </si>
  <si>
    <t>2025-02-14</t>
  </si>
  <si>
    <t>2024-03-07</t>
  </si>
  <si>
    <t>2025-03-19</t>
  </si>
  <si>
    <t>2024-06-25</t>
  </si>
  <si>
    <t>2025-05-25</t>
  </si>
  <si>
    <t>2025-01-27</t>
  </si>
  <si>
    <t>2025-04-28</t>
  </si>
  <si>
    <t>2025-11-03</t>
  </si>
  <si>
    <t>2025-02-01</t>
  </si>
  <si>
    <t>2024-11-21</t>
  </si>
  <si>
    <t>2024-07-25</t>
  </si>
  <si>
    <t>2024-01-23</t>
  </si>
  <si>
    <t>2024-04-13</t>
  </si>
  <si>
    <t>2025-12-06</t>
  </si>
  <si>
    <t>2024-08-14</t>
  </si>
  <si>
    <t>2024-03-20</t>
  </si>
  <si>
    <t>2024-02-04</t>
  </si>
  <si>
    <t>2024-12-16</t>
  </si>
  <si>
    <t>2025-07-14</t>
  </si>
  <si>
    <t>2025-12-22</t>
  </si>
  <si>
    <t>2024-06-09</t>
  </si>
  <si>
    <t>2024-07-30</t>
  </si>
  <si>
    <t>2025-01-13</t>
  </si>
  <si>
    <t>2025-08-26</t>
  </si>
  <si>
    <t>2025-07-02</t>
  </si>
  <si>
    <t>2024-11-02</t>
  </si>
  <si>
    <t>2025-06-13</t>
  </si>
  <si>
    <t>2024-06-20</t>
  </si>
  <si>
    <t>2024-05-31</t>
  </si>
  <si>
    <t>2024-05-27</t>
  </si>
  <si>
    <t>2025-12-08</t>
  </si>
  <si>
    <t>2024-01-21</t>
  </si>
  <si>
    <t>2024-11-24</t>
  </si>
  <si>
    <t>2024-07-11</t>
  </si>
  <si>
    <t>2025-02-17</t>
  </si>
  <si>
    <t>2024-12-24</t>
  </si>
  <si>
    <t>2024-10-18</t>
  </si>
  <si>
    <t>2025-06-09</t>
  </si>
  <si>
    <t>2025-10-24</t>
  </si>
  <si>
    <t>2025-09-14</t>
  </si>
  <si>
    <t>2024-11-01</t>
  </si>
  <si>
    <t>2025-08-20</t>
  </si>
  <si>
    <t>2024-05-11</t>
  </si>
  <si>
    <t>2024-08-15</t>
  </si>
  <si>
    <t>2024-09-23</t>
  </si>
  <si>
    <t>2024-02-24</t>
  </si>
  <si>
    <t>2024-07-18</t>
  </si>
  <si>
    <t>2024-02-25</t>
  </si>
  <si>
    <t>2024-01-05</t>
  </si>
  <si>
    <t>2025-10-10</t>
  </si>
  <si>
    <t>2024-02-08</t>
  </si>
  <si>
    <t>2024-07-14</t>
  </si>
  <si>
    <t>2025-12-04</t>
  </si>
  <si>
    <t>2025-03-02</t>
  </si>
  <si>
    <t>2025-12-18</t>
  </si>
  <si>
    <t>2024-01-14</t>
  </si>
  <si>
    <t>2024-04-07</t>
  </si>
  <si>
    <t>2024-12-02</t>
  </si>
  <si>
    <t>2025-01-29</t>
  </si>
  <si>
    <t>2024-04-25</t>
  </si>
  <si>
    <t>2025-06-19</t>
  </si>
  <si>
    <t>2025-05-08</t>
  </si>
  <si>
    <t>2025-02-16</t>
  </si>
  <si>
    <t>2024-06-30</t>
  </si>
  <si>
    <t>2025-11-04</t>
  </si>
  <si>
    <t>2024-07-24</t>
  </si>
  <si>
    <t>2025-11-19</t>
  </si>
  <si>
    <t>2025-12-11</t>
  </si>
  <si>
    <t>2025-07-19</t>
  </si>
  <si>
    <t>2025-04-04</t>
  </si>
  <si>
    <t>2025-06-10</t>
  </si>
  <si>
    <t>2025-05-17</t>
  </si>
  <si>
    <t>2024-08-06</t>
  </si>
  <si>
    <t>2025-09-25</t>
  </si>
  <si>
    <t>2025-04-01</t>
  </si>
  <si>
    <t>2024-09-19</t>
  </si>
  <si>
    <t>2024-01-08</t>
  </si>
  <si>
    <t>2025-12-02</t>
  </si>
  <si>
    <t>2024-03-13</t>
  </si>
  <si>
    <t>2025-04-06</t>
  </si>
  <si>
    <t>2025-11-20</t>
  </si>
  <si>
    <t>2024-08-13</t>
  </si>
  <si>
    <t>2024-05-24</t>
  </si>
  <si>
    <t>2025-09-23</t>
  </si>
  <si>
    <t>2025-07-16</t>
  </si>
  <si>
    <t>2025-09-26</t>
  </si>
  <si>
    <t>2025-08-27</t>
  </si>
  <si>
    <t>2025-09-20</t>
  </si>
  <si>
    <t>2025-07-11</t>
  </si>
  <si>
    <t>2025-10-31</t>
  </si>
  <si>
    <t>2025-02-19</t>
  </si>
  <si>
    <t>2024-05-10</t>
  </si>
  <si>
    <t>2024-03-28</t>
  </si>
  <si>
    <t>2025-11-06</t>
  </si>
  <si>
    <t>2024-02-09</t>
  </si>
  <si>
    <t>2025-06-18</t>
  </si>
  <si>
    <t>2024-04-10</t>
  </si>
  <si>
    <t>2024-10-17</t>
  </si>
  <si>
    <t>2025-06-16</t>
  </si>
  <si>
    <t>2025-02-22</t>
  </si>
  <si>
    <t>2024-09-16</t>
  </si>
  <si>
    <t>2025-07-22</t>
  </si>
  <si>
    <t>2024-05-21</t>
  </si>
  <si>
    <t>2025-01-14</t>
  </si>
  <si>
    <t>2025-09-12</t>
  </si>
  <si>
    <t>2024-04-29</t>
  </si>
  <si>
    <t>2024-11-19</t>
  </si>
  <si>
    <t>2024-03-18</t>
  </si>
  <si>
    <t>2024-08-11</t>
  </si>
  <si>
    <t>2024-01-13</t>
  </si>
  <si>
    <t>2024-08-30</t>
  </si>
  <si>
    <t>2024-10-13</t>
  </si>
  <si>
    <t>2024-07-19</t>
  </si>
  <si>
    <t>2024-06-29</t>
  </si>
  <si>
    <t>2024-02-18</t>
  </si>
  <si>
    <t>2025-05-02</t>
  </si>
  <si>
    <t>2024-03-14</t>
  </si>
  <si>
    <t>2025-10-30</t>
  </si>
  <si>
    <t>2024-01-27</t>
  </si>
  <si>
    <t>2024-01-30</t>
  </si>
  <si>
    <t>2025-07-07</t>
  </si>
  <si>
    <t>2024-11-06</t>
  </si>
  <si>
    <t>2024-01-10</t>
  </si>
  <si>
    <t>2025-07-15</t>
  </si>
  <si>
    <t>2024-04-23</t>
  </si>
  <si>
    <t>2024-07-04</t>
  </si>
  <si>
    <t>2025-04-29</t>
  </si>
  <si>
    <t>2025-05-11</t>
  </si>
  <si>
    <t>2024-01-01</t>
  </si>
  <si>
    <t>2024-08-09</t>
  </si>
  <si>
    <t>2025-07-17</t>
  </si>
  <si>
    <t>2025-09-06</t>
  </si>
  <si>
    <t>2024-08-26</t>
  </si>
  <si>
    <t>2025-05-14</t>
  </si>
  <si>
    <t>2025-10-19</t>
  </si>
  <si>
    <t>2025-02-07</t>
  </si>
  <si>
    <t>2024-02-20</t>
  </si>
  <si>
    <t>2025-03-20</t>
  </si>
  <si>
    <t>2024-07-21</t>
  </si>
  <si>
    <t>2024-09-09</t>
  </si>
  <si>
    <t>2024-01-15</t>
  </si>
  <si>
    <t>2024-09-21</t>
  </si>
  <si>
    <t>2025-01-20</t>
  </si>
  <si>
    <t>2025-07-09</t>
  </si>
  <si>
    <t>2024-06-04</t>
  </si>
  <si>
    <t>2025-09-11</t>
  </si>
  <si>
    <t>2025-04-30</t>
  </si>
  <si>
    <t>2024-03-08</t>
  </si>
  <si>
    <t>2024-04-02</t>
  </si>
  <si>
    <t>2025-12-24</t>
  </si>
  <si>
    <t>October</t>
  </si>
  <si>
    <t>May</t>
  </si>
  <si>
    <t>April</t>
  </si>
  <si>
    <t>July</t>
  </si>
  <si>
    <t>June</t>
  </si>
  <si>
    <t>January</t>
  </si>
  <si>
    <t>February</t>
  </si>
  <si>
    <t>December</t>
  </si>
  <si>
    <t>August</t>
  </si>
  <si>
    <t>November</t>
  </si>
  <si>
    <t>September</t>
  </si>
  <si>
    <t>March</t>
  </si>
  <si>
    <t>Dividends</t>
  </si>
  <si>
    <t>Rental Income</t>
  </si>
  <si>
    <t>Interest Income</t>
  </si>
  <si>
    <t>Business</t>
  </si>
  <si>
    <t>Bonus</t>
  </si>
  <si>
    <t>Freelancing</t>
  </si>
  <si>
    <t>Salary</t>
  </si>
  <si>
    <t>Rent</t>
  </si>
  <si>
    <t>Healthcare</t>
  </si>
  <si>
    <t>Entertainment</t>
  </si>
  <si>
    <t>Travel</t>
  </si>
  <si>
    <t>Shopping</t>
  </si>
  <si>
    <t>Food</t>
  </si>
  <si>
    <t>Bills</t>
  </si>
  <si>
    <t>Education</t>
  </si>
  <si>
    <t>Income</t>
  </si>
  <si>
    <t>Expense</t>
  </si>
  <si>
    <t>Investment</t>
  </si>
  <si>
    <t>Credit Card</t>
  </si>
  <si>
    <t>UPI</t>
  </si>
  <si>
    <t>Net Banking</t>
  </si>
  <si>
    <t>Debit Card</t>
  </si>
  <si>
    <t>Cash</t>
  </si>
  <si>
    <t>Wallet</t>
  </si>
  <si>
    <t>Mutual Funds</t>
  </si>
  <si>
    <t>FD</t>
  </si>
  <si>
    <t>SIP</t>
  </si>
  <si>
    <t>Gold</t>
  </si>
  <si>
    <t>Crypto</t>
  </si>
  <si>
    <t>Stocks</t>
  </si>
  <si>
    <t>Hyderabad</t>
  </si>
  <si>
    <t>Mumbai</t>
  </si>
  <si>
    <t>Jaipur</t>
  </si>
  <si>
    <t>Lucknow</t>
  </si>
  <si>
    <t>Chennai</t>
  </si>
  <si>
    <t>Delhi</t>
  </si>
  <si>
    <t>Pune</t>
  </si>
  <si>
    <t>Bengaluru</t>
  </si>
  <si>
    <t>Ahmedabad</t>
  </si>
  <si>
    <t>Kolkata</t>
  </si>
  <si>
    <t>Net Amount</t>
  </si>
  <si>
    <t>Row Labels</t>
  </si>
  <si>
    <t>Grand Total</t>
  </si>
  <si>
    <t>Column Labels</t>
  </si>
  <si>
    <t>Sum of Net Amount</t>
  </si>
  <si>
    <t>Expenses</t>
  </si>
  <si>
    <t>Net Saving</t>
  </si>
  <si>
    <t>Savigs Rate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</si>
</sst>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gt;=10000000]&quot;₹&quot;0.0,,&quot; Cr&quot;;[&gt;=100000]&quot;₹&quot;0.0,&quot; L&quot;;&quot;₹&quot;0"/>
    <numFmt numFmtId="165" formatCode="[&gt;=10000000]&quot;₹&quot;0.0,,,&quot; Cr&quot;;[&gt;=100000]&quot;₹&quot;0.0,,&quot; L&quot;;&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xf numFmtId="164" fontId="0" fillId="0" borderId="0" xfId="0" applyNumberFormat="1"/>
    <xf numFmtId="165" fontId="0" fillId="0" borderId="0" xfId="0" applyNumberFormat="1"/>
    <xf numFmtId="10"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[Financial Portfolio Dashboard.xlsx]pivot!PivotTable5</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a:t>
            </a:r>
            <a:r>
              <a:rPr lang="en-US" baseline="0"/>
              <a:t> Savings Trend</a:t>
            </a:r>
            <a:endParaRPr lang="en-US"/>
          </a:p>
        </c:rich>
      </c:tx>
      <c:layout>
        <c:manualLayout>
          <c:xMode val="edge"/>
          <c:yMode val="edge"/>
          <c:x val="0.28191666666666659"/>
          <c:y val="9.259259259259258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areaChart>
        <c:grouping val="standard"/>
        <c:varyColors val="0"/>
        <c:ser>
          <c:idx val="0"/>
          <c:order val="0"/>
          <c:tx>
            <c:strRef>
              <c:f>pivot!$H$38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cat>
            <c:strRef>
              <c:f>pivot!$G$39:$G$51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pivot!$H$39:$H$51</c:f>
              <c:numCache>
                <c:formatCode>General</c:formatCode>
                <c:ptCount val="12"/>
                <c:pt idx="0">
                  <c:v>845267</c:v>
                </c:pt>
                <c:pt idx="1">
                  <c:v>915349</c:v>
                </c:pt>
                <c:pt idx="2">
                  <c:v>1409821</c:v>
                </c:pt>
                <c:pt idx="3">
                  <c:v>1251111</c:v>
                </c:pt>
                <c:pt idx="4">
                  <c:v>1376704</c:v>
                </c:pt>
                <c:pt idx="5">
                  <c:v>787018</c:v>
                </c:pt>
                <c:pt idx="6">
                  <c:v>797240</c:v>
                </c:pt>
                <c:pt idx="7">
                  <c:v>1784705</c:v>
                </c:pt>
                <c:pt idx="8">
                  <c:v>1393288</c:v>
                </c:pt>
                <c:pt idx="9">
                  <c:v>659904</c:v>
                </c:pt>
                <c:pt idx="10">
                  <c:v>1093680</c:v>
                </c:pt>
                <c:pt idx="11">
                  <c:v>369128</c:v>
                </c:pt>
              </c:numCache>
            </c:numRef>
          </c:val>
        </c:ser>
        <c:dLbls>
          <c:showLegendKey val="0"/>
          <c:showVal val="0"/>
          <c:showCatName val="0"/>
          <c:showSerName val="0"/>
          <c:showPercent val="0"/>
          <c:showBubbleSize val="0"/>
        </c:dLbls>
        <c:axId val="235003936"/>
        <c:axId val="235004320"/>
      </c:areaChart>
      <c:catAx>
        <c:axId val="23500393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5004320"/>
        <c:crosses val="autoZero"/>
        <c:auto val="1"/>
        <c:lblAlgn val="ctr"/>
        <c:lblOffset val="100"/>
        <c:noMultiLvlLbl val="0"/>
      </c:catAx>
      <c:valAx>
        <c:axId val="235004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500393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Portfolio Dashboard.xlsx]pivot!PivotTable1</c:name>
    <c:fmtId val="10"/>
  </c:pivotSource>
  <c:chart>
    <c:title>
      <c:tx>
        <c:rich>
          <a:bodyPr rot="0" spcFirstLastPara="1" vertOverflow="ellipsis" vert="horz" wrap="square" anchor="ctr" anchorCtr="1"/>
          <a:lstStyle/>
          <a:p>
            <a:pPr>
              <a:defRPr sz="1400" b="1" i="0" u="none" strike="noStrike" kern="1200" cap="none" spc="20" baseline="0">
                <a:solidFill>
                  <a:schemeClr val="accent1">
                    <a:lumMod val="75000"/>
                  </a:schemeClr>
                </a:solidFill>
                <a:latin typeface="Times New Roman" panose="02020603050405020304" pitchFamily="18" charset="0"/>
                <a:ea typeface="+mn-ea"/>
                <a:cs typeface="Times New Roman" panose="02020603050405020304" pitchFamily="18" charset="0"/>
              </a:defRPr>
            </a:pPr>
            <a:r>
              <a:rPr lang="en-IN" sz="1400" b="1">
                <a:solidFill>
                  <a:schemeClr val="accent1">
                    <a:lumMod val="75000"/>
                  </a:schemeClr>
                </a:solidFill>
                <a:latin typeface="Times New Roman" panose="02020603050405020304" pitchFamily="18" charset="0"/>
                <a:cs typeface="Times New Roman" panose="02020603050405020304" pitchFamily="18" charset="0"/>
              </a:rPr>
              <a:t>Monthly</a:t>
            </a:r>
            <a:r>
              <a:rPr lang="en-IN" sz="1400" b="1" baseline="0">
                <a:solidFill>
                  <a:schemeClr val="accent1">
                    <a:lumMod val="75000"/>
                  </a:schemeClr>
                </a:solidFill>
                <a:latin typeface="Times New Roman" panose="02020603050405020304" pitchFamily="18" charset="0"/>
                <a:cs typeface="Times New Roman" panose="02020603050405020304" pitchFamily="18" charset="0"/>
              </a:rPr>
              <a:t> Financial Summary</a:t>
            </a:r>
          </a:p>
        </c:rich>
      </c:tx>
      <c:layout>
        <c:manualLayout>
          <c:xMode val="edge"/>
          <c:yMode val="edge"/>
          <c:x val="0.26420122484689418"/>
          <c:y val="6.0185185185185182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pivotFmt>
      <c:pivotFmt>
        <c:idx val="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pivotFmt>
      <c:pivotFmt>
        <c:idx val="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pivotFmt>
      <c:pivotFmt>
        <c:idx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pivotFmt>
      <c:pivotFmt>
        <c:idx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pivotFmt>
      <c:pivotFmt>
        <c:idx val="6"/>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pivotFmt>
      <c:pivotFmt>
        <c:idx val="7"/>
        <c:spPr>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pivotFmt>
      <c:pivotFmt>
        <c:idx val="8"/>
        <c:spPr>
          <a:ln w="22225" cap="rnd" cmpd="sng" algn="ctr">
            <a:solidFill>
              <a:schemeClr val="accent2"/>
            </a:solidFill>
            <a:round/>
          </a:ln>
          <a:effectLst/>
        </c:spPr>
        <c:marker>
          <c:symbol val="circle"/>
          <c:size val="4"/>
          <c:spPr>
            <a:solidFill>
              <a:schemeClr val="accent6"/>
            </a:solidFill>
            <a:ln w="9525" cap="flat" cmpd="sng" algn="ctr">
              <a:solidFill>
                <a:schemeClr val="accent6"/>
              </a:solidFill>
              <a:round/>
            </a:ln>
            <a:effectLst/>
          </c:spPr>
        </c:marker>
      </c:pivotFmt>
    </c:pivotFmts>
    <c:plotArea>
      <c:layout>
        <c:manualLayout>
          <c:layoutTarget val="inner"/>
          <c:xMode val="edge"/>
          <c:yMode val="edge"/>
          <c:x val="0.14213437237412554"/>
          <c:y val="0.17404440509562782"/>
          <c:w val="0.64733182272945378"/>
          <c:h val="0.80298034348750191"/>
        </c:manualLayout>
      </c:layout>
      <c:lineChart>
        <c:grouping val="standard"/>
        <c:varyColors val="0"/>
        <c:ser>
          <c:idx val="0"/>
          <c:order val="0"/>
          <c:tx>
            <c:strRef>
              <c:f>pivot!$B$3:$B$4</c:f>
              <c:strCache>
                <c:ptCount val="1"/>
                <c:pt idx="0">
                  <c:v>Expense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pivot!$B$5:$B$17</c:f>
              <c:numCache>
                <c:formatCode>General</c:formatCode>
                <c:ptCount val="12"/>
                <c:pt idx="0">
                  <c:v>-662032</c:v>
                </c:pt>
                <c:pt idx="1">
                  <c:v>-649743</c:v>
                </c:pt>
                <c:pt idx="2">
                  <c:v>-403962</c:v>
                </c:pt>
                <c:pt idx="3">
                  <c:v>-681376</c:v>
                </c:pt>
                <c:pt idx="4">
                  <c:v>-380104</c:v>
                </c:pt>
                <c:pt idx="5">
                  <c:v>-450913</c:v>
                </c:pt>
                <c:pt idx="6">
                  <c:v>-568602</c:v>
                </c:pt>
                <c:pt idx="7">
                  <c:v>-529082</c:v>
                </c:pt>
                <c:pt idx="8">
                  <c:v>-421025</c:v>
                </c:pt>
                <c:pt idx="9">
                  <c:v>-567263</c:v>
                </c:pt>
                <c:pt idx="10">
                  <c:v>-487856</c:v>
                </c:pt>
                <c:pt idx="11">
                  <c:v>-503151</c:v>
                </c:pt>
              </c:numCache>
            </c:numRef>
          </c:val>
          <c:smooth val="0"/>
        </c:ser>
        <c:ser>
          <c:idx val="1"/>
          <c:order val="1"/>
          <c:tx>
            <c:strRef>
              <c:f>pivot!$C$3:$C$4</c:f>
              <c:strCache>
                <c:ptCount val="1"/>
                <c:pt idx="0">
                  <c:v>Income</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pivot!$C$5:$C$17</c:f>
              <c:numCache>
                <c:formatCode>General</c:formatCode>
                <c:ptCount val="12"/>
                <c:pt idx="0">
                  <c:v>2526732</c:v>
                </c:pt>
                <c:pt idx="1">
                  <c:v>2525745</c:v>
                </c:pt>
                <c:pt idx="2">
                  <c:v>2502299</c:v>
                </c:pt>
                <c:pt idx="3">
                  <c:v>2917218</c:v>
                </c:pt>
                <c:pt idx="4">
                  <c:v>2432788</c:v>
                </c:pt>
                <c:pt idx="5">
                  <c:v>2012153</c:v>
                </c:pt>
                <c:pt idx="6">
                  <c:v>2037765</c:v>
                </c:pt>
                <c:pt idx="7">
                  <c:v>3373763</c:v>
                </c:pt>
                <c:pt idx="8">
                  <c:v>2600158</c:v>
                </c:pt>
                <c:pt idx="9">
                  <c:v>2027679</c:v>
                </c:pt>
                <c:pt idx="10">
                  <c:v>2658245</c:v>
                </c:pt>
                <c:pt idx="11">
                  <c:v>1770889</c:v>
                </c:pt>
              </c:numCache>
            </c:numRef>
          </c:val>
          <c:smooth val="0"/>
        </c:ser>
        <c:ser>
          <c:idx val="2"/>
          <c:order val="2"/>
          <c:tx>
            <c:strRef>
              <c:f>pivot!$D$3:$D$4</c:f>
              <c:strCache>
                <c:ptCount val="1"/>
                <c:pt idx="0">
                  <c:v>Investment</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pivot!$D$5:$D$17</c:f>
              <c:numCache>
                <c:formatCode>General</c:formatCode>
                <c:ptCount val="12"/>
                <c:pt idx="0">
                  <c:v>-1019433</c:v>
                </c:pt>
                <c:pt idx="1">
                  <c:v>-960653</c:v>
                </c:pt>
                <c:pt idx="2">
                  <c:v>-688516</c:v>
                </c:pt>
                <c:pt idx="3">
                  <c:v>-984731</c:v>
                </c:pt>
                <c:pt idx="4">
                  <c:v>-675980</c:v>
                </c:pt>
                <c:pt idx="5">
                  <c:v>-774222</c:v>
                </c:pt>
                <c:pt idx="6">
                  <c:v>-671923</c:v>
                </c:pt>
                <c:pt idx="7">
                  <c:v>-1059976</c:v>
                </c:pt>
                <c:pt idx="8">
                  <c:v>-785845</c:v>
                </c:pt>
                <c:pt idx="9">
                  <c:v>-800512</c:v>
                </c:pt>
                <c:pt idx="10">
                  <c:v>-1076709</c:v>
                </c:pt>
                <c:pt idx="11">
                  <c:v>-898610</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35140528"/>
        <c:axId val="235140912"/>
      </c:lineChart>
      <c:catAx>
        <c:axId val="2351405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235140912"/>
        <c:crosses val="autoZero"/>
        <c:auto val="1"/>
        <c:lblAlgn val="ctr"/>
        <c:lblOffset val="100"/>
        <c:noMultiLvlLbl val="0"/>
      </c:catAx>
      <c:valAx>
        <c:axId val="23514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accent1">
                    <a:lumMod val="75000"/>
                  </a:schemeClr>
                </a:solidFill>
                <a:latin typeface="+mn-lt"/>
                <a:ea typeface="+mn-ea"/>
                <a:cs typeface="+mn-cs"/>
              </a:defRPr>
            </a:pPr>
            <a:endParaRPr lang="en-US"/>
          </a:p>
        </c:txPr>
        <c:crossAx val="235140528"/>
        <c:crosses val="autoZero"/>
        <c:crossBetween val="between"/>
      </c:valAx>
      <c:spPr>
        <a:solidFill>
          <a:schemeClr val="tx2">
            <a:lumMod val="20000"/>
            <a:lumOff val="80000"/>
          </a:schemeClr>
        </a:solidFill>
        <a:ln>
          <a:noFill/>
        </a:ln>
        <a:effectLst/>
      </c:spPr>
    </c:plotArea>
    <c:legend>
      <c:legendPos val="r"/>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solidFill>
        <a:schemeClr val="accent1">
          <a:shade val="50000"/>
        </a:schemeClr>
      </a:solidFill>
      <a:round/>
    </a:ln>
    <a:effectLst/>
    <a:scene3d>
      <a:camera prst="orthographicFront"/>
      <a:lightRig rig="threePt" dir="t"/>
    </a:scene3d>
    <a:sp3d prstMaterial="translucentPowder">
      <a:bevelT w="2032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[Financial Portfolio Dashboard.xlsx]pivot!PivotTable2</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IN">
                <a:latin typeface="Times New Roman" panose="02020603050405020304" pitchFamily="18" charset="0"/>
                <a:cs typeface="Times New Roman" panose="02020603050405020304" pitchFamily="18" charset="0"/>
              </a:rPr>
              <a:t>Expense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gradFill rotWithShape="1">
            <a:gsLst>
              <a:gs pos="0">
                <a:schemeClr val="accent1">
                  <a:shade val="45000"/>
                  <a:shade val="51000"/>
                  <a:satMod val="130000"/>
                </a:schemeClr>
              </a:gs>
              <a:gs pos="80000">
                <a:schemeClr val="accent1">
                  <a:shade val="45000"/>
                  <a:shade val="93000"/>
                  <a:satMod val="130000"/>
                </a:schemeClr>
              </a:gs>
              <a:gs pos="100000">
                <a:schemeClr val="accent1">
                  <a:shade val="45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0"/>
        <c:spPr>
          <a:gradFill rotWithShape="1">
            <a:gsLst>
              <a:gs pos="0">
                <a:schemeClr val="accent1">
                  <a:shade val="61000"/>
                  <a:shade val="51000"/>
                  <a:satMod val="130000"/>
                </a:schemeClr>
              </a:gs>
              <a:gs pos="80000">
                <a:schemeClr val="accent1">
                  <a:shade val="61000"/>
                  <a:shade val="93000"/>
                  <a:satMod val="130000"/>
                </a:schemeClr>
              </a:gs>
              <a:gs pos="100000">
                <a:schemeClr val="accent1">
                  <a:shade val="61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1"/>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2"/>
        <c:spPr>
          <a:gradFill rotWithShape="1">
            <a:gsLst>
              <a:gs pos="0">
                <a:schemeClr val="accent1">
                  <a:shade val="92000"/>
                  <a:shade val="51000"/>
                  <a:satMod val="130000"/>
                </a:schemeClr>
              </a:gs>
              <a:gs pos="80000">
                <a:schemeClr val="accent1">
                  <a:shade val="92000"/>
                  <a:shade val="93000"/>
                  <a:satMod val="130000"/>
                </a:schemeClr>
              </a:gs>
              <a:gs pos="100000">
                <a:schemeClr val="accent1">
                  <a:shade val="92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3"/>
        <c:spPr>
          <a:gradFill rotWithShape="1">
            <a:gsLst>
              <a:gs pos="0">
                <a:schemeClr val="accent1">
                  <a:tint val="93000"/>
                  <a:shade val="51000"/>
                  <a:satMod val="130000"/>
                </a:schemeClr>
              </a:gs>
              <a:gs pos="80000">
                <a:schemeClr val="accent1">
                  <a:tint val="93000"/>
                  <a:shade val="93000"/>
                  <a:satMod val="130000"/>
                </a:schemeClr>
              </a:gs>
              <a:gs pos="100000">
                <a:schemeClr val="accent1">
                  <a:tint val="9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4"/>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5"/>
        <c:spPr>
          <a:gradFill rotWithShape="1">
            <a:gsLst>
              <a:gs pos="0">
                <a:schemeClr val="accent1">
                  <a:tint val="62000"/>
                  <a:shade val="51000"/>
                  <a:satMod val="130000"/>
                </a:schemeClr>
              </a:gs>
              <a:gs pos="80000">
                <a:schemeClr val="accent1">
                  <a:tint val="62000"/>
                  <a:shade val="93000"/>
                  <a:satMod val="130000"/>
                </a:schemeClr>
              </a:gs>
              <a:gs pos="100000">
                <a:schemeClr val="accent1">
                  <a:tint val="62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6"/>
        <c:spPr>
          <a:gradFill rotWithShape="1">
            <a:gsLst>
              <a:gs pos="0">
                <a:schemeClr val="accent1">
                  <a:tint val="46000"/>
                  <a:shade val="51000"/>
                  <a:satMod val="130000"/>
                </a:schemeClr>
              </a:gs>
              <a:gs pos="80000">
                <a:schemeClr val="accent1">
                  <a:tint val="46000"/>
                  <a:shade val="93000"/>
                  <a:satMod val="130000"/>
                </a:schemeClr>
              </a:gs>
              <a:gs pos="100000">
                <a:schemeClr val="accent1">
                  <a:tint val="46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pivot!$H$3</c:f>
              <c:strCache>
                <c:ptCount val="1"/>
                <c:pt idx="0">
                  <c:v>Total</c:v>
                </c:pt>
              </c:strCache>
            </c:strRef>
          </c:tx>
          <c:dPt>
            <c:idx val="0"/>
            <c:bubble3D val="0"/>
            <c:spPr>
              <a:gradFill rotWithShape="1">
                <a:gsLst>
                  <a:gs pos="0">
                    <a:schemeClr val="accent1">
                      <a:shade val="45000"/>
                      <a:shade val="51000"/>
                      <a:satMod val="130000"/>
                    </a:schemeClr>
                  </a:gs>
                  <a:gs pos="80000">
                    <a:schemeClr val="accent1">
                      <a:shade val="45000"/>
                      <a:shade val="93000"/>
                      <a:satMod val="130000"/>
                    </a:schemeClr>
                  </a:gs>
                  <a:gs pos="100000">
                    <a:schemeClr val="accent1">
                      <a:shade val="45000"/>
                      <a:shade val="94000"/>
                      <a:satMod val="135000"/>
                    </a:schemeClr>
                  </a:gs>
                </a:gsLst>
                <a:lin ang="16200000" scaled="0"/>
              </a:gradFill>
              <a:ln>
                <a:noFill/>
              </a:ln>
              <a:effectLst>
                <a:outerShdw blurRad="40000" dist="23000" dir="5400000" rotWithShape="0">
                  <a:srgbClr val="000000">
                    <a:alpha val="35000"/>
                  </a:srgbClr>
                </a:outerShdw>
              </a:effectLst>
            </c:spPr>
          </c:dPt>
          <c:dPt>
            <c:idx val="1"/>
            <c:bubble3D val="0"/>
            <c:spPr>
              <a:gradFill rotWithShape="1">
                <a:gsLst>
                  <a:gs pos="0">
                    <a:schemeClr val="accent1">
                      <a:shade val="61000"/>
                      <a:shade val="51000"/>
                      <a:satMod val="130000"/>
                    </a:schemeClr>
                  </a:gs>
                  <a:gs pos="80000">
                    <a:schemeClr val="accent1">
                      <a:shade val="61000"/>
                      <a:shade val="93000"/>
                      <a:satMod val="130000"/>
                    </a:schemeClr>
                  </a:gs>
                  <a:gs pos="100000">
                    <a:schemeClr val="accent1">
                      <a:shade val="61000"/>
                      <a:shade val="94000"/>
                      <a:satMod val="135000"/>
                    </a:schemeClr>
                  </a:gs>
                </a:gsLst>
                <a:lin ang="16200000" scaled="0"/>
              </a:gradFill>
              <a:ln>
                <a:noFill/>
              </a:ln>
              <a:effectLst>
                <a:outerShdw blurRad="40000" dist="23000" dir="5400000" rotWithShape="0">
                  <a:srgbClr val="000000">
                    <a:alpha val="35000"/>
                  </a:srgbClr>
                </a:outerShdw>
              </a:effectLst>
            </c:spPr>
          </c:dPt>
          <c:dPt>
            <c:idx val="2"/>
            <c:bubble3D val="0"/>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c:spPr>
          </c:dPt>
          <c:dPt>
            <c:idx val="3"/>
            <c:bubble3D val="0"/>
            <c:spPr>
              <a:gradFill rotWithShape="1">
                <a:gsLst>
                  <a:gs pos="0">
                    <a:schemeClr val="accent1">
                      <a:shade val="92000"/>
                      <a:shade val="51000"/>
                      <a:satMod val="130000"/>
                    </a:schemeClr>
                  </a:gs>
                  <a:gs pos="80000">
                    <a:schemeClr val="accent1">
                      <a:shade val="92000"/>
                      <a:shade val="93000"/>
                      <a:satMod val="130000"/>
                    </a:schemeClr>
                  </a:gs>
                  <a:gs pos="100000">
                    <a:schemeClr val="accent1">
                      <a:shade val="92000"/>
                      <a:shade val="94000"/>
                      <a:satMod val="135000"/>
                    </a:schemeClr>
                  </a:gs>
                </a:gsLst>
                <a:lin ang="16200000" scaled="0"/>
              </a:gradFill>
              <a:ln>
                <a:noFill/>
              </a:ln>
              <a:effectLst>
                <a:outerShdw blurRad="40000" dist="23000" dir="5400000" rotWithShape="0">
                  <a:srgbClr val="000000">
                    <a:alpha val="35000"/>
                  </a:srgbClr>
                </a:outerShdw>
              </a:effectLst>
            </c:spPr>
          </c:dPt>
          <c:dPt>
            <c:idx val="4"/>
            <c:bubble3D val="0"/>
            <c:spPr>
              <a:gradFill rotWithShape="1">
                <a:gsLst>
                  <a:gs pos="0">
                    <a:schemeClr val="accent1">
                      <a:tint val="93000"/>
                      <a:shade val="51000"/>
                      <a:satMod val="130000"/>
                    </a:schemeClr>
                  </a:gs>
                  <a:gs pos="80000">
                    <a:schemeClr val="accent1">
                      <a:tint val="93000"/>
                      <a:shade val="93000"/>
                      <a:satMod val="130000"/>
                    </a:schemeClr>
                  </a:gs>
                  <a:gs pos="100000">
                    <a:schemeClr val="accent1">
                      <a:tint val="93000"/>
                      <a:shade val="94000"/>
                      <a:satMod val="135000"/>
                    </a:schemeClr>
                  </a:gs>
                </a:gsLst>
                <a:lin ang="16200000" scaled="0"/>
              </a:gradFill>
              <a:ln>
                <a:noFill/>
              </a:ln>
              <a:effectLst>
                <a:outerShdw blurRad="40000" dist="23000" dir="5400000" rotWithShape="0">
                  <a:srgbClr val="000000">
                    <a:alpha val="35000"/>
                  </a:srgbClr>
                </a:outerShdw>
              </a:effectLst>
            </c:spPr>
          </c:dPt>
          <c:dPt>
            <c:idx val="5"/>
            <c:bubble3D val="0"/>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c:spPr>
          </c:dPt>
          <c:dPt>
            <c:idx val="6"/>
            <c:bubble3D val="0"/>
            <c:spPr>
              <a:gradFill rotWithShape="1">
                <a:gsLst>
                  <a:gs pos="0">
                    <a:schemeClr val="accent1">
                      <a:tint val="62000"/>
                      <a:shade val="51000"/>
                      <a:satMod val="130000"/>
                    </a:schemeClr>
                  </a:gs>
                  <a:gs pos="80000">
                    <a:schemeClr val="accent1">
                      <a:tint val="62000"/>
                      <a:shade val="93000"/>
                      <a:satMod val="130000"/>
                    </a:schemeClr>
                  </a:gs>
                  <a:gs pos="100000">
                    <a:schemeClr val="accent1">
                      <a:tint val="62000"/>
                      <a:shade val="94000"/>
                      <a:satMod val="135000"/>
                    </a:schemeClr>
                  </a:gs>
                </a:gsLst>
                <a:lin ang="16200000" scaled="0"/>
              </a:gradFill>
              <a:ln>
                <a:noFill/>
              </a:ln>
              <a:effectLst>
                <a:outerShdw blurRad="40000" dist="23000" dir="5400000" rotWithShape="0">
                  <a:srgbClr val="000000">
                    <a:alpha val="35000"/>
                  </a:srgbClr>
                </a:outerShdw>
              </a:effectLst>
            </c:spPr>
          </c:dPt>
          <c:dPt>
            <c:idx val="7"/>
            <c:bubble3D val="0"/>
            <c:spPr>
              <a:gradFill rotWithShape="1">
                <a:gsLst>
                  <a:gs pos="0">
                    <a:schemeClr val="accent1">
                      <a:tint val="46000"/>
                      <a:shade val="51000"/>
                      <a:satMod val="130000"/>
                    </a:schemeClr>
                  </a:gs>
                  <a:gs pos="80000">
                    <a:schemeClr val="accent1">
                      <a:tint val="46000"/>
                      <a:shade val="93000"/>
                      <a:satMod val="130000"/>
                    </a:schemeClr>
                  </a:gs>
                  <a:gs pos="100000">
                    <a:schemeClr val="accent1">
                      <a:tint val="46000"/>
                      <a:shade val="94000"/>
                      <a:satMod val="135000"/>
                    </a:schemeClr>
                  </a:gs>
                </a:gsLst>
                <a:lin ang="16200000" scaled="0"/>
              </a:gradFill>
              <a:ln>
                <a:noFill/>
              </a:ln>
              <a:effectLst>
                <a:outerShdw blurRad="40000" dist="23000" dir="5400000" rotWithShape="0">
                  <a:srgbClr val="000000">
                    <a:alpha val="35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pivot!$G$4:$G$12</c:f>
              <c:strCache>
                <c:ptCount val="8"/>
                <c:pt idx="0">
                  <c:v>Rent</c:v>
                </c:pt>
                <c:pt idx="1">
                  <c:v>Education</c:v>
                </c:pt>
                <c:pt idx="2">
                  <c:v>Shopping</c:v>
                </c:pt>
                <c:pt idx="3">
                  <c:v>Healthcare</c:v>
                </c:pt>
                <c:pt idx="4">
                  <c:v>Bills</c:v>
                </c:pt>
                <c:pt idx="5">
                  <c:v>Travel</c:v>
                </c:pt>
                <c:pt idx="6">
                  <c:v>Entertainment</c:v>
                </c:pt>
                <c:pt idx="7">
                  <c:v>Food</c:v>
                </c:pt>
              </c:strCache>
            </c:strRef>
          </c:cat>
          <c:val>
            <c:numRef>
              <c:f>pivot!$H$4:$H$12</c:f>
              <c:numCache>
                <c:formatCode>General</c:formatCode>
                <c:ptCount val="8"/>
                <c:pt idx="0">
                  <c:v>-1792486</c:v>
                </c:pt>
                <c:pt idx="1">
                  <c:v>-1756093</c:v>
                </c:pt>
                <c:pt idx="2">
                  <c:v>-841926</c:v>
                </c:pt>
                <c:pt idx="3">
                  <c:v>-821621</c:v>
                </c:pt>
                <c:pt idx="4">
                  <c:v>-390349</c:v>
                </c:pt>
                <c:pt idx="5">
                  <c:v>-364916</c:v>
                </c:pt>
                <c:pt idx="6">
                  <c:v>-250997</c:v>
                </c:pt>
                <c:pt idx="7">
                  <c:v>-86721</c:v>
                </c:pt>
              </c:numCache>
            </c:numRef>
          </c:val>
        </c:ser>
        <c:dLbls>
          <c:showLegendKey val="0"/>
          <c:showVal val="0"/>
          <c:showCatName val="0"/>
          <c:showSerName val="0"/>
          <c:showPercent val="1"/>
          <c:showBubbleSize val="0"/>
          <c:showLeaderLines val="1"/>
        </c:dLbls>
        <c:firstSliceAng val="35"/>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noFill/>
      <a:round/>
    </a:ln>
    <a:effectLst>
      <a:softEdge rad="0"/>
    </a:effectLst>
    <a:scene3d>
      <a:camera prst="orthographicFront"/>
      <a:lightRig rig="threePt" dir="t"/>
    </a:scene3d>
    <a:sp3d prstMaterial="plastic">
      <a:bevelT w="82550" h="63500" prst="divo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[Financial Portfolio Dashboard.xlsx]pivot!PivotTable3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1600">
                <a:latin typeface="Times New Roman" panose="02020603050405020304" pitchFamily="18" charset="0"/>
                <a:cs typeface="Times New Roman" panose="02020603050405020304" pitchFamily="18" charset="0"/>
              </a:rPr>
              <a:t>Investment Analysis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8"/>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pivotFmt>
      <c:pivotFmt>
        <c:idx val="19"/>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pivot!$K$3</c:f>
              <c:strCache>
                <c:ptCount val="1"/>
                <c:pt idx="0">
                  <c:v>Total</c:v>
                </c:pt>
              </c:strCache>
            </c:strRef>
          </c:tx>
          <c:dPt>
            <c:idx val="0"/>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c:spPr>
          </c:dPt>
          <c:dPt>
            <c:idx val="1"/>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c:spPr>
          </c:dPt>
          <c:dPt>
            <c:idx val="2"/>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c:spPr>
          </c:dPt>
          <c:dPt>
            <c:idx val="3"/>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c:spPr>
          </c:dPt>
          <c:dPt>
            <c:idx val="4"/>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c:spPr>
          </c:dPt>
          <c:dPt>
            <c:idx val="5"/>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c:spPr>
          </c:dPt>
          <c:cat>
            <c:strRef>
              <c:f>pivot!$J$4:$J$10</c:f>
              <c:strCache>
                <c:ptCount val="6"/>
                <c:pt idx="0">
                  <c:v>FD</c:v>
                </c:pt>
                <c:pt idx="1">
                  <c:v>Stocks</c:v>
                </c:pt>
                <c:pt idx="2">
                  <c:v>Crypto</c:v>
                </c:pt>
                <c:pt idx="3">
                  <c:v>Gold</c:v>
                </c:pt>
                <c:pt idx="4">
                  <c:v>Mutual Funds</c:v>
                </c:pt>
                <c:pt idx="5">
                  <c:v>SIP</c:v>
                </c:pt>
              </c:strCache>
            </c:strRef>
          </c:cat>
          <c:val>
            <c:numRef>
              <c:f>pivot!$K$4:$K$10</c:f>
              <c:numCache>
                <c:formatCode>General</c:formatCode>
                <c:ptCount val="6"/>
                <c:pt idx="0">
                  <c:v>-3658542</c:v>
                </c:pt>
                <c:pt idx="1">
                  <c:v>-2179619</c:v>
                </c:pt>
                <c:pt idx="2">
                  <c:v>-1686450</c:v>
                </c:pt>
                <c:pt idx="3">
                  <c:v>-1586395</c:v>
                </c:pt>
                <c:pt idx="4">
                  <c:v>-749482</c:v>
                </c:pt>
                <c:pt idx="5">
                  <c:v>-536622</c:v>
                </c:pt>
              </c:numCache>
            </c:numRef>
          </c:val>
        </c:ser>
        <c:dLbls>
          <c:showLegendKey val="0"/>
          <c:showVal val="0"/>
          <c:showCatName val="0"/>
          <c:showSerName val="0"/>
          <c:showPercent val="0"/>
          <c:showBubbleSize val="0"/>
          <c:showLeaderLines val="1"/>
        </c:dLbls>
        <c:firstSliceAng val="35"/>
        <c:holeSize val="43"/>
      </c:doughnutChart>
      <c:spPr>
        <a:noFill/>
        <a:ln>
          <a:noFill/>
        </a:ln>
        <a:effectLst/>
      </c:spPr>
    </c:plotArea>
    <c:legend>
      <c:legendPos val="r"/>
      <c:layout>
        <c:manualLayout>
          <c:xMode val="edge"/>
          <c:yMode val="edge"/>
          <c:x val="0.57236639369521169"/>
          <c:y val="0.30816418321667671"/>
          <c:w val="0.33187504507635113"/>
          <c:h val="0.577067537856161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solidFill>
        <a:schemeClr val="accent1">
          <a:shade val="50000"/>
        </a:schemeClr>
      </a:solidFill>
      <a:round/>
    </a:ln>
    <a:effectLst>
      <a:softEdge rad="31750"/>
    </a:effectLst>
    <a:scene3d>
      <a:camera prst="orthographicFront"/>
      <a:lightRig rig="threePt" dir="t"/>
    </a:scene3d>
    <a:sp3d prstMaterial="plastic">
      <a:bevelT w="82550" h="63500" prst="divo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[Financial Portfolio Dashboard.xlsx]pivot!PivotTable4</c:name>
    <c:fmtId val="14"/>
  </c:pivotSource>
  <c:chart>
    <c:title>
      <c:tx>
        <c:rich>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US" sz="2000"/>
              <a:t>Payment Mode Analysis</a:t>
            </a:r>
          </a:p>
        </c:rich>
      </c:tx>
      <c:layout/>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1334417058069"/>
          <c:y val="0.26104274002786687"/>
          <c:w val="0.70835857683749381"/>
          <c:h val="0.6037502768753692"/>
        </c:manualLayout>
      </c:layout>
      <c:barChart>
        <c:barDir val="bar"/>
        <c:grouping val="clustered"/>
        <c:varyColors val="0"/>
        <c:ser>
          <c:idx val="0"/>
          <c:order val="0"/>
          <c:tx>
            <c:strRef>
              <c:f>pivot!$H$15</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pivot!$G$16:$G$22</c:f>
              <c:strCache>
                <c:ptCount val="6"/>
                <c:pt idx="0">
                  <c:v>Debit Card</c:v>
                </c:pt>
                <c:pt idx="1">
                  <c:v>Net Banking</c:v>
                </c:pt>
                <c:pt idx="2">
                  <c:v>Wallet</c:v>
                </c:pt>
                <c:pt idx="3">
                  <c:v>Cash</c:v>
                </c:pt>
                <c:pt idx="4">
                  <c:v>UPI</c:v>
                </c:pt>
                <c:pt idx="5">
                  <c:v>Credit Card</c:v>
                </c:pt>
              </c:strCache>
            </c:strRef>
          </c:cat>
          <c:val>
            <c:numRef>
              <c:f>pivot!$H$16:$H$22</c:f>
              <c:numCache>
                <c:formatCode>General</c:formatCode>
                <c:ptCount val="6"/>
                <c:pt idx="0">
                  <c:v>-863999</c:v>
                </c:pt>
                <c:pt idx="1">
                  <c:v>-980242</c:v>
                </c:pt>
                <c:pt idx="2">
                  <c:v>-988525</c:v>
                </c:pt>
                <c:pt idx="3">
                  <c:v>-1111118</c:v>
                </c:pt>
                <c:pt idx="4">
                  <c:v>-1135217</c:v>
                </c:pt>
                <c:pt idx="5">
                  <c:v>-1226008</c:v>
                </c:pt>
              </c:numCache>
            </c:numRef>
          </c:val>
        </c:ser>
        <c:dLbls>
          <c:showLegendKey val="0"/>
          <c:showVal val="0"/>
          <c:showCatName val="0"/>
          <c:showSerName val="0"/>
          <c:showPercent val="0"/>
          <c:showBubbleSize val="0"/>
        </c:dLbls>
        <c:gapWidth val="30"/>
        <c:axId val="236323288"/>
        <c:axId val="236323672"/>
      </c:barChart>
      <c:catAx>
        <c:axId val="2363232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36323672"/>
        <c:crosses val="autoZero"/>
        <c:auto val="1"/>
        <c:lblAlgn val="ctr"/>
        <c:lblOffset val="100"/>
        <c:noMultiLvlLbl val="0"/>
      </c:catAx>
      <c:valAx>
        <c:axId val="236323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6323288"/>
        <c:crosses val="autoZero"/>
        <c:crossBetween val="between"/>
      </c:valAx>
      <c:spPr>
        <a:noFill/>
        <a:ln w="25400">
          <a:noFill/>
        </a:ln>
        <a:effectLst/>
      </c:spPr>
    </c:plotArea>
    <c:plotVisOnly val="1"/>
    <c:dispBlanksAs val="gap"/>
    <c:showDLblsOverMax val="0"/>
  </c:chart>
  <c:spPr>
    <a:solidFill>
      <a:schemeClr val="tx2">
        <a:lumMod val="20000"/>
        <a:lumOff val="80000"/>
      </a:schemeClr>
    </a:solidFill>
    <a:ln w="9525" cap="flat" cmpd="sng" algn="ctr">
      <a:solidFill>
        <a:schemeClr val="accent1">
          <a:shade val="50000"/>
        </a:schemeClr>
      </a:solidFill>
      <a:round/>
    </a:ln>
    <a:effectLst/>
    <a:scene3d>
      <a:camera prst="orthographicFront"/>
      <a:lightRig rig="threePt" dir="t"/>
    </a:scene3d>
    <a:sp3d prstMaterial="plastic">
      <a:bevelT w="82550" h="63500" prst="divo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[Financial Portfolio Dashboard.xlsx]pivot!PivotTable6</c:name>
    <c:fmtId val="11"/>
  </c:pivotSource>
  <c:chart>
    <c:title>
      <c:tx>
        <c:rich>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US" sz="2000"/>
              <a:t>City</a:t>
            </a:r>
            <a:r>
              <a:rPr lang="en-US" sz="2000" baseline="0"/>
              <a:t> Wise Analysis</a:t>
            </a:r>
            <a:endParaRPr lang="en-US" sz="2000"/>
          </a:p>
        </c:rich>
      </c:tx>
      <c:layout/>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manualLayout>
          <c:layoutTarget val="inner"/>
          <c:xMode val="edge"/>
          <c:yMode val="edge"/>
          <c:x val="0.19184599465502777"/>
          <c:y val="0.23236883589588042"/>
          <c:w val="0.68483726419443469"/>
          <c:h val="0.72685136849687926"/>
        </c:manualLayout>
      </c:layout>
      <c:barChart>
        <c:barDir val="col"/>
        <c:grouping val="stacked"/>
        <c:varyColors val="0"/>
        <c:ser>
          <c:idx val="0"/>
          <c:order val="0"/>
          <c:tx>
            <c:strRef>
              <c:f>pivot!$K$14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pivot!$J$15:$J$25</c:f>
              <c:strCache>
                <c:ptCount val="10"/>
                <c:pt idx="0">
                  <c:v>Bengaluru</c:v>
                </c:pt>
                <c:pt idx="1">
                  <c:v>Lucknow</c:v>
                </c:pt>
                <c:pt idx="2">
                  <c:v>Kolkata</c:v>
                </c:pt>
                <c:pt idx="3">
                  <c:v>Hyderabad</c:v>
                </c:pt>
                <c:pt idx="4">
                  <c:v>Pune</c:v>
                </c:pt>
                <c:pt idx="5">
                  <c:v>Jaipur</c:v>
                </c:pt>
                <c:pt idx="6">
                  <c:v>Mumbai</c:v>
                </c:pt>
                <c:pt idx="7">
                  <c:v>Delhi</c:v>
                </c:pt>
                <c:pt idx="8">
                  <c:v>Ahmedabad</c:v>
                </c:pt>
                <c:pt idx="9">
                  <c:v>Chennai</c:v>
                </c:pt>
              </c:strCache>
            </c:strRef>
          </c:cat>
          <c:val>
            <c:numRef>
              <c:f>pivot!$K$15:$K$25</c:f>
              <c:numCache>
                <c:formatCode>General</c:formatCode>
                <c:ptCount val="10"/>
                <c:pt idx="0">
                  <c:v>-465814</c:v>
                </c:pt>
                <c:pt idx="1">
                  <c:v>-509457</c:v>
                </c:pt>
                <c:pt idx="2">
                  <c:v>-555166</c:v>
                </c:pt>
                <c:pt idx="3">
                  <c:v>-558787</c:v>
                </c:pt>
                <c:pt idx="4">
                  <c:v>-578385</c:v>
                </c:pt>
                <c:pt idx="5">
                  <c:v>-624220</c:v>
                </c:pt>
                <c:pt idx="6">
                  <c:v>-683636</c:v>
                </c:pt>
                <c:pt idx="7">
                  <c:v>-712937</c:v>
                </c:pt>
                <c:pt idx="8">
                  <c:v>-729812</c:v>
                </c:pt>
                <c:pt idx="9">
                  <c:v>-886895</c:v>
                </c:pt>
              </c:numCache>
            </c:numRef>
          </c:val>
        </c:ser>
        <c:dLbls>
          <c:showLegendKey val="0"/>
          <c:showVal val="0"/>
          <c:showCatName val="0"/>
          <c:showSerName val="0"/>
          <c:showPercent val="0"/>
          <c:showBubbleSize val="0"/>
        </c:dLbls>
        <c:gapWidth val="30"/>
        <c:overlap val="100"/>
        <c:axId val="234190072"/>
        <c:axId val="234188504"/>
      </c:barChart>
      <c:catAx>
        <c:axId val="2341900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34188504"/>
        <c:crosses val="autoZero"/>
        <c:auto val="1"/>
        <c:lblAlgn val="ctr"/>
        <c:lblOffset val="100"/>
        <c:noMultiLvlLbl val="0"/>
      </c:catAx>
      <c:valAx>
        <c:axId val="234188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4190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solidFill>
        <a:schemeClr val="accent1">
          <a:shade val="50000"/>
        </a:schemeClr>
      </a:solidFill>
      <a:round/>
    </a:ln>
    <a:effectLst/>
    <a:scene3d>
      <a:camera prst="orthographicFront"/>
      <a:lightRig rig="threePt" dir="t"/>
    </a:scene3d>
    <a:sp3d prstMaterial="plastic">
      <a:bevelT w="82550" h="63500" prst="divo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151534</xdr:colOff>
      <xdr:row>35</xdr:row>
      <xdr:rowOff>83125</xdr:rowOff>
    </xdr:from>
    <xdr:to>
      <xdr:col>14</xdr:col>
      <xdr:colOff>523876</xdr:colOff>
      <xdr:row>50</xdr:row>
      <xdr:rowOff>98713</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84625</xdr:colOff>
      <xdr:row>0</xdr:row>
      <xdr:rowOff>87923</xdr:rowOff>
    </xdr:from>
    <xdr:to>
      <xdr:col>18</xdr:col>
      <xdr:colOff>123168</xdr:colOff>
      <xdr:row>2</xdr:row>
      <xdr:rowOff>62279</xdr:rowOff>
    </xdr:to>
    <xdr:sp macro="" textlink="">
      <xdr:nvSpPr>
        <xdr:cNvPr id="2" name="Rounded Rectangle 1"/>
        <xdr:cNvSpPr/>
      </xdr:nvSpPr>
      <xdr:spPr>
        <a:xfrm>
          <a:off x="84625" y="87923"/>
          <a:ext cx="11714879" cy="335649"/>
        </a:xfrm>
        <a:prstGeom prst="roundRect">
          <a:avLst/>
        </a:prstGeom>
        <a:solidFill>
          <a:schemeClr val="accent1">
            <a:lumMod val="75000"/>
          </a:schemeClr>
        </a:solidFill>
        <a:ln w="6350"/>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Engravers MT" panose="02090707080505020304" pitchFamily="18" charset="0"/>
            </a:rPr>
            <a:t>Financial</a:t>
          </a:r>
          <a:r>
            <a:rPr lang="en-IN" sz="1400" baseline="0">
              <a:latin typeface="Engravers MT" panose="02090707080505020304" pitchFamily="18" charset="0"/>
            </a:rPr>
            <a:t> Portfolio Dashboard</a:t>
          </a:r>
          <a:endParaRPr lang="en-IN" sz="1400">
            <a:latin typeface="Engravers MT" panose="02090707080505020304" pitchFamily="18" charset="0"/>
          </a:endParaRPr>
        </a:p>
      </xdr:txBody>
    </xdr:sp>
    <xdr:clientData/>
  </xdr:twoCellAnchor>
  <xdr:twoCellAnchor>
    <xdr:from>
      <xdr:col>0</xdr:col>
      <xdr:colOff>109538</xdr:colOff>
      <xdr:row>2</xdr:row>
      <xdr:rowOff>169710</xdr:rowOff>
    </xdr:from>
    <xdr:to>
      <xdr:col>3</xdr:col>
      <xdr:colOff>459827</xdr:colOff>
      <xdr:row>9</xdr:row>
      <xdr:rowOff>49267</xdr:rowOff>
    </xdr:to>
    <xdr:grpSp>
      <xdr:nvGrpSpPr>
        <xdr:cNvPr id="6" name="Group 5"/>
        <xdr:cNvGrpSpPr/>
      </xdr:nvGrpSpPr>
      <xdr:grpSpPr>
        <a:xfrm>
          <a:off x="109538" y="531003"/>
          <a:ext cx="2296346" cy="1144083"/>
          <a:chOff x="109538" y="531660"/>
          <a:chExt cx="2190750" cy="1049490"/>
        </a:xfrm>
        <a:solidFill>
          <a:schemeClr val="accent1">
            <a:lumMod val="75000"/>
          </a:schemeClr>
        </a:solidFill>
        <a:effectLst>
          <a:outerShdw blurRad="50800" dist="38100" dir="2700000" algn="tl" rotWithShape="0">
            <a:prstClr val="black">
              <a:alpha val="40000"/>
            </a:prstClr>
          </a:outerShdw>
        </a:effectLst>
      </xdr:grpSpPr>
      <xdr:sp macro="" textlink="">
        <xdr:nvSpPr>
          <xdr:cNvPr id="3" name="Rounded Rectangle 2"/>
          <xdr:cNvSpPr/>
        </xdr:nvSpPr>
        <xdr:spPr>
          <a:xfrm>
            <a:off x="109538" y="531660"/>
            <a:ext cx="2175866" cy="373628"/>
          </a:xfrm>
          <a:prstGeom prst="roundRect">
            <a:avLst/>
          </a:prstGeom>
          <a:grpFill/>
          <a:ln w="6350"/>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Baskerville Old Face" panose="02020602080505020303" pitchFamily="18" charset="0"/>
              </a:rPr>
              <a:t>Total Income</a:t>
            </a:r>
          </a:p>
        </xdr:txBody>
      </xdr:sp>
      <xdr:sp macro="" textlink="KPI!B5">
        <xdr:nvSpPr>
          <xdr:cNvPr id="5" name="Rounded Rectangle 4"/>
          <xdr:cNvSpPr/>
        </xdr:nvSpPr>
        <xdr:spPr>
          <a:xfrm>
            <a:off x="114302" y="952501"/>
            <a:ext cx="2185986" cy="628649"/>
          </a:xfrm>
          <a:prstGeom prst="roundRect">
            <a:avLst/>
          </a:prstGeom>
          <a:grpFill/>
          <a:ln w="6350">
            <a:solidFill>
              <a:schemeClr val="accent1">
                <a:lumMod val="75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08D3727-532D-4CBB-A39E-5FA827D40749}" type="TxLink">
              <a:rPr lang="en-US" sz="2800" b="1" i="0" u="none" strike="noStrike">
                <a:solidFill>
                  <a:srgbClr val="00B050"/>
                </a:solidFill>
                <a:latin typeface="Bahnschrift" panose="020B0502040204020203" pitchFamily="34" charset="0"/>
                <a:cs typeface="Calibri"/>
              </a:rPr>
              <a:pPr algn="ctr"/>
              <a:t>₹29.4 Cr</a:t>
            </a:fld>
            <a:endParaRPr lang="en-IN" sz="2800" b="1">
              <a:solidFill>
                <a:srgbClr val="00B050"/>
              </a:solidFill>
              <a:latin typeface="Bahnschrift" panose="020B0502040204020203" pitchFamily="34" charset="0"/>
            </a:endParaRPr>
          </a:p>
        </xdr:txBody>
      </xdr:sp>
    </xdr:grpSp>
    <xdr:clientData/>
  </xdr:twoCellAnchor>
  <xdr:twoCellAnchor>
    <xdr:from>
      <xdr:col>3</xdr:col>
      <xdr:colOff>484460</xdr:colOff>
      <xdr:row>2</xdr:row>
      <xdr:rowOff>164225</xdr:rowOff>
    </xdr:from>
    <xdr:to>
      <xdr:col>7</xdr:col>
      <xdr:colOff>155251</xdr:colOff>
      <xdr:row>9</xdr:row>
      <xdr:rowOff>82112</xdr:rowOff>
    </xdr:to>
    <xdr:grpSp>
      <xdr:nvGrpSpPr>
        <xdr:cNvPr id="21" name="Group 20"/>
        <xdr:cNvGrpSpPr/>
      </xdr:nvGrpSpPr>
      <xdr:grpSpPr>
        <a:xfrm>
          <a:off x="2430517" y="525518"/>
          <a:ext cx="2265532" cy="1182413"/>
          <a:chOff x="2566989" y="542925"/>
          <a:chExt cx="2199677" cy="1049490"/>
        </a:xfrm>
        <a:solidFill>
          <a:schemeClr val="accent1">
            <a:lumMod val="75000"/>
          </a:schemeClr>
        </a:solidFill>
        <a:effectLst>
          <a:outerShdw blurRad="50800" dist="38100" dir="2700000" algn="tl" rotWithShape="0">
            <a:prstClr val="black">
              <a:alpha val="40000"/>
            </a:prstClr>
          </a:outerShdw>
        </a:effectLst>
      </xdr:grpSpPr>
      <xdr:sp macro="" textlink="">
        <xdr:nvSpPr>
          <xdr:cNvPr id="8" name="Rounded Rectangle 7"/>
          <xdr:cNvSpPr/>
        </xdr:nvSpPr>
        <xdr:spPr>
          <a:xfrm>
            <a:off x="2590800" y="542925"/>
            <a:ext cx="2175866" cy="373628"/>
          </a:xfrm>
          <a:prstGeom prst="roundRect">
            <a:avLst/>
          </a:prstGeom>
          <a:grpFill/>
          <a:ln w="6350"/>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Baskerville Old Face" panose="02020602080505020303" pitchFamily="18" charset="0"/>
              </a:rPr>
              <a:t>Total</a:t>
            </a:r>
            <a:r>
              <a:rPr lang="en-IN" sz="1600" baseline="0">
                <a:latin typeface="Baskerville Old Face" panose="02020602080505020303" pitchFamily="18" charset="0"/>
              </a:rPr>
              <a:t> Expenses</a:t>
            </a:r>
            <a:endParaRPr lang="en-IN" sz="1600">
              <a:latin typeface="Baskerville Old Face" panose="02020602080505020303" pitchFamily="18" charset="0"/>
            </a:endParaRPr>
          </a:p>
        </xdr:txBody>
      </xdr:sp>
      <xdr:sp macro="" textlink="KPI!E5">
        <xdr:nvSpPr>
          <xdr:cNvPr id="9" name="Rounded Rectangle 8"/>
          <xdr:cNvSpPr/>
        </xdr:nvSpPr>
        <xdr:spPr>
          <a:xfrm>
            <a:off x="2566989" y="963766"/>
            <a:ext cx="2185986" cy="628649"/>
          </a:xfrm>
          <a:prstGeom prst="roundRect">
            <a:avLst/>
          </a:prstGeom>
          <a:grpFill/>
          <a:ln w="6350">
            <a:solidFill>
              <a:schemeClr val="accent1">
                <a:lumMod val="75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CD51A67-9E63-4EF8-9D00-F7EF40A73A94}" type="TxLink">
              <a:rPr lang="en-US" sz="2800" b="0" i="0" u="none" strike="noStrike">
                <a:solidFill>
                  <a:srgbClr val="FF0000"/>
                </a:solidFill>
                <a:latin typeface="Bahnschrift" panose="020B0502040204020203" pitchFamily="34" charset="0"/>
                <a:cs typeface="Calibri"/>
              </a:rPr>
              <a:pPr algn="ctr"/>
              <a:t>₹6.3 L</a:t>
            </a:fld>
            <a:endParaRPr lang="en-IN" sz="2800" b="1">
              <a:solidFill>
                <a:srgbClr val="FF0000"/>
              </a:solidFill>
              <a:latin typeface="Bahnschrift" panose="020B0502040204020203" pitchFamily="34" charset="0"/>
            </a:endParaRPr>
          </a:p>
        </xdr:txBody>
      </xdr:sp>
    </xdr:grpSp>
    <xdr:clientData/>
  </xdr:twoCellAnchor>
  <xdr:twoCellAnchor>
    <xdr:from>
      <xdr:col>7</xdr:col>
      <xdr:colOff>197069</xdr:colOff>
      <xdr:row>2</xdr:row>
      <xdr:rowOff>178512</xdr:rowOff>
    </xdr:from>
    <xdr:to>
      <xdr:col>10</xdr:col>
      <xdr:colOff>554584</xdr:colOff>
      <xdr:row>9</xdr:row>
      <xdr:rowOff>65690</xdr:rowOff>
    </xdr:to>
    <xdr:grpSp>
      <xdr:nvGrpSpPr>
        <xdr:cNvPr id="13" name="Group 12"/>
        <xdr:cNvGrpSpPr/>
      </xdr:nvGrpSpPr>
      <xdr:grpSpPr>
        <a:xfrm>
          <a:off x="4737867" y="539805"/>
          <a:ext cx="2303570" cy="1151704"/>
          <a:chOff x="5181600" y="542925"/>
          <a:chExt cx="2190750" cy="1049490"/>
        </a:xfrm>
        <a:solidFill>
          <a:schemeClr val="accent1">
            <a:lumMod val="75000"/>
          </a:schemeClr>
        </a:solidFill>
        <a:effectLst>
          <a:outerShdw blurRad="50800" dist="38100" dir="2700000" algn="tl" rotWithShape="0">
            <a:prstClr val="black">
              <a:alpha val="40000"/>
            </a:prstClr>
          </a:outerShdw>
        </a:effectLst>
      </xdr:grpSpPr>
      <xdr:sp macro="" textlink="">
        <xdr:nvSpPr>
          <xdr:cNvPr id="11" name="Rounded Rectangle 10"/>
          <xdr:cNvSpPr/>
        </xdr:nvSpPr>
        <xdr:spPr>
          <a:xfrm>
            <a:off x="5181600" y="542925"/>
            <a:ext cx="2175866" cy="373628"/>
          </a:xfrm>
          <a:prstGeom prst="roundRect">
            <a:avLst/>
          </a:prstGeom>
          <a:grpFill/>
          <a:ln w="6350"/>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Baskerville Old Face" panose="02020602080505020303" pitchFamily="18" charset="0"/>
              </a:rPr>
              <a:t>Total Investments</a:t>
            </a:r>
          </a:p>
          <a:p>
            <a:pPr algn="ctr"/>
            <a:endParaRPr lang="en-IN" sz="1600">
              <a:latin typeface="Baskerville Old Face" panose="02020602080505020303" pitchFamily="18" charset="0"/>
            </a:endParaRPr>
          </a:p>
        </xdr:txBody>
      </xdr:sp>
      <xdr:sp macro="" textlink="KPI!H5">
        <xdr:nvSpPr>
          <xdr:cNvPr id="12" name="Rounded Rectangle 11"/>
          <xdr:cNvSpPr/>
        </xdr:nvSpPr>
        <xdr:spPr>
          <a:xfrm>
            <a:off x="5186364" y="963766"/>
            <a:ext cx="2185986" cy="628649"/>
          </a:xfrm>
          <a:prstGeom prst="roundRect">
            <a:avLst/>
          </a:prstGeom>
          <a:grpFill/>
          <a:ln w="6350">
            <a:solidFill>
              <a:schemeClr val="accent1">
                <a:lumMod val="75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B5168FA-990F-4684-AD9B-B8E916E613DE}" type="TxLink">
              <a:rPr lang="en-US" sz="2800" b="0" i="0" u="none" strike="noStrike">
                <a:solidFill>
                  <a:schemeClr val="bg1"/>
                </a:solidFill>
                <a:latin typeface="Bahnschrift" panose="020B0502040204020203" pitchFamily="34" charset="0"/>
                <a:cs typeface="Calibri"/>
              </a:rPr>
              <a:pPr algn="ctr"/>
              <a:t>₹10.4 Cr</a:t>
            </a:fld>
            <a:endParaRPr lang="en-IN" sz="2800" b="1">
              <a:solidFill>
                <a:schemeClr val="bg1"/>
              </a:solidFill>
              <a:latin typeface="Bahnschrift" panose="020B0502040204020203" pitchFamily="34" charset="0"/>
            </a:endParaRPr>
          </a:p>
        </xdr:txBody>
      </xdr:sp>
    </xdr:grpSp>
    <xdr:clientData/>
  </xdr:twoCellAnchor>
  <xdr:twoCellAnchor>
    <xdr:from>
      <xdr:col>10</xdr:col>
      <xdr:colOff>607630</xdr:colOff>
      <xdr:row>2</xdr:row>
      <xdr:rowOff>178513</xdr:rowOff>
    </xdr:from>
    <xdr:to>
      <xdr:col>14</xdr:col>
      <xdr:colOff>314325</xdr:colOff>
      <xdr:row>9</xdr:row>
      <xdr:rowOff>90324</xdr:rowOff>
    </xdr:to>
    <xdr:grpSp>
      <xdr:nvGrpSpPr>
        <xdr:cNvPr id="20" name="Group 19"/>
        <xdr:cNvGrpSpPr/>
      </xdr:nvGrpSpPr>
      <xdr:grpSpPr>
        <a:xfrm>
          <a:off x="7094483" y="539806"/>
          <a:ext cx="2301437" cy="1176337"/>
          <a:chOff x="7462837" y="557212"/>
          <a:chExt cx="2190750" cy="1049490"/>
        </a:xfrm>
        <a:solidFill>
          <a:schemeClr val="accent1">
            <a:lumMod val="75000"/>
          </a:schemeClr>
        </a:solidFill>
        <a:effectLst>
          <a:outerShdw blurRad="50800" dist="38100" dir="2700000" algn="tl" rotWithShape="0">
            <a:prstClr val="black">
              <a:alpha val="40000"/>
            </a:prstClr>
          </a:outerShdw>
        </a:effectLst>
      </xdr:grpSpPr>
      <xdr:sp macro="" textlink="">
        <xdr:nvSpPr>
          <xdr:cNvPr id="15" name="Rounded Rectangle 14"/>
          <xdr:cNvSpPr/>
        </xdr:nvSpPr>
        <xdr:spPr>
          <a:xfrm>
            <a:off x="7462837" y="557212"/>
            <a:ext cx="2175866" cy="373628"/>
          </a:xfrm>
          <a:prstGeom prst="roundRect">
            <a:avLst/>
          </a:prstGeom>
          <a:grpFill/>
          <a:ln w="6350"/>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Baskerville Old Face" panose="02020602080505020303" pitchFamily="18" charset="0"/>
              </a:rPr>
              <a:t>Net</a:t>
            </a:r>
            <a:r>
              <a:rPr lang="en-IN" sz="1600" baseline="0">
                <a:latin typeface="Baskerville Old Face" panose="02020602080505020303" pitchFamily="18" charset="0"/>
              </a:rPr>
              <a:t> Saving</a:t>
            </a:r>
            <a:r>
              <a:rPr lang="en-IN" sz="1600">
                <a:latin typeface="Baskerville Old Face" panose="02020602080505020303" pitchFamily="18" charset="0"/>
              </a:rPr>
              <a:t>s</a:t>
            </a:r>
          </a:p>
          <a:p>
            <a:pPr algn="ctr"/>
            <a:endParaRPr lang="en-IN" sz="1600">
              <a:latin typeface="Baskerville Old Face" panose="02020602080505020303" pitchFamily="18" charset="0"/>
            </a:endParaRPr>
          </a:p>
        </xdr:txBody>
      </xdr:sp>
      <xdr:sp macro="" textlink="KPI!C10">
        <xdr:nvSpPr>
          <xdr:cNvPr id="16" name="Rounded Rectangle 15"/>
          <xdr:cNvSpPr/>
        </xdr:nvSpPr>
        <xdr:spPr>
          <a:xfrm>
            <a:off x="7467601" y="978053"/>
            <a:ext cx="2185986" cy="628649"/>
          </a:xfrm>
          <a:prstGeom prst="roundRect">
            <a:avLst/>
          </a:prstGeom>
          <a:grpFill/>
          <a:ln w="6350">
            <a:solidFill>
              <a:schemeClr val="accent1">
                <a:lumMod val="75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D5EC28A-9CAC-48A5-8174-E99B62987E49}" type="TxLink">
              <a:rPr lang="en-US" sz="2800" b="0" i="0" u="none" strike="noStrike">
                <a:solidFill>
                  <a:srgbClr val="92D050"/>
                </a:solidFill>
                <a:latin typeface="Bahnschrift" panose="020B0502040204020203" pitchFamily="34" charset="0"/>
                <a:cs typeface="Calibri"/>
              </a:rPr>
              <a:pPr algn="ctr"/>
              <a:t>₹23.1 Cr</a:t>
            </a:fld>
            <a:endParaRPr lang="en-IN" sz="2800" b="1">
              <a:solidFill>
                <a:srgbClr val="92D050"/>
              </a:solidFill>
              <a:latin typeface="Bahnschrift" panose="020B0502040204020203" pitchFamily="34" charset="0"/>
            </a:endParaRPr>
          </a:p>
        </xdr:txBody>
      </xdr:sp>
    </xdr:grpSp>
    <xdr:clientData/>
  </xdr:twoCellAnchor>
  <xdr:twoCellAnchor>
    <xdr:from>
      <xdr:col>14</xdr:col>
      <xdr:colOff>377716</xdr:colOff>
      <xdr:row>2</xdr:row>
      <xdr:rowOff>168988</xdr:rowOff>
    </xdr:from>
    <xdr:to>
      <xdr:col>18</xdr:col>
      <xdr:colOff>138113</xdr:colOff>
      <xdr:row>9</xdr:row>
      <xdr:rowOff>82112</xdr:rowOff>
    </xdr:to>
    <xdr:grpSp>
      <xdr:nvGrpSpPr>
        <xdr:cNvPr id="22" name="Group 21"/>
        <xdr:cNvGrpSpPr/>
      </xdr:nvGrpSpPr>
      <xdr:grpSpPr>
        <a:xfrm>
          <a:off x="9459311" y="530281"/>
          <a:ext cx="2355138" cy="1177650"/>
          <a:chOff x="9715500" y="542925"/>
          <a:chExt cx="2190750" cy="1049490"/>
        </a:xfrm>
        <a:solidFill>
          <a:schemeClr val="accent1">
            <a:lumMod val="75000"/>
          </a:schemeClr>
        </a:solidFill>
        <a:effectLst>
          <a:outerShdw blurRad="50800" dist="38100" dir="2700000" algn="tl" rotWithShape="0">
            <a:prstClr val="black">
              <a:alpha val="40000"/>
            </a:prstClr>
          </a:outerShdw>
        </a:effectLst>
      </xdr:grpSpPr>
      <xdr:sp macro="" textlink="">
        <xdr:nvSpPr>
          <xdr:cNvPr id="18" name="Rounded Rectangle 17"/>
          <xdr:cNvSpPr/>
        </xdr:nvSpPr>
        <xdr:spPr>
          <a:xfrm>
            <a:off x="9715500" y="542925"/>
            <a:ext cx="2175866" cy="373628"/>
          </a:xfrm>
          <a:prstGeom prst="roundRect">
            <a:avLst/>
          </a:prstGeom>
          <a:grpFill/>
          <a:ln w="6350"/>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aseline="0">
                <a:latin typeface="Baskerville Old Face" panose="02020602080505020303" pitchFamily="18" charset="0"/>
              </a:rPr>
              <a:t>Savings Rate</a:t>
            </a:r>
            <a:endParaRPr lang="en-IN" sz="1600">
              <a:latin typeface="Baskerville Old Face" panose="02020602080505020303" pitchFamily="18" charset="0"/>
            </a:endParaRPr>
          </a:p>
          <a:p>
            <a:pPr algn="ctr"/>
            <a:endParaRPr lang="en-IN" sz="1600">
              <a:latin typeface="Baskerville Old Face" panose="02020602080505020303" pitchFamily="18" charset="0"/>
            </a:endParaRPr>
          </a:p>
        </xdr:txBody>
      </xdr:sp>
      <xdr:sp macro="" textlink="KPI!C12">
        <xdr:nvSpPr>
          <xdr:cNvPr id="19" name="Rounded Rectangle 18"/>
          <xdr:cNvSpPr/>
        </xdr:nvSpPr>
        <xdr:spPr>
          <a:xfrm>
            <a:off x="9720264" y="963766"/>
            <a:ext cx="2185986" cy="628649"/>
          </a:xfrm>
          <a:prstGeom prst="roundRect">
            <a:avLst/>
          </a:prstGeom>
          <a:grpFill/>
          <a:ln w="6350">
            <a:solidFill>
              <a:schemeClr val="accent1">
                <a:lumMod val="75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8A7BE02-812D-4B5F-921E-4F4DF6F25F00}" type="TxLink">
              <a:rPr lang="en-US" sz="2800" b="0" i="0" u="none" strike="noStrike">
                <a:solidFill>
                  <a:schemeClr val="accent6">
                    <a:lumMod val="75000"/>
                  </a:schemeClr>
                </a:solidFill>
                <a:latin typeface="Bahnschrift" panose="020B0502040204020203" pitchFamily="34" charset="0"/>
                <a:cs typeface="Calibri"/>
              </a:rPr>
              <a:pPr algn="ctr"/>
              <a:t>78.54%</a:t>
            </a:fld>
            <a:endParaRPr lang="en-IN" sz="2800" b="1">
              <a:solidFill>
                <a:schemeClr val="accent6">
                  <a:lumMod val="75000"/>
                </a:schemeClr>
              </a:solidFill>
              <a:latin typeface="Bahnschrift" panose="020B0502040204020203" pitchFamily="34" charset="0"/>
            </a:endParaRPr>
          </a:p>
        </xdr:txBody>
      </xdr:sp>
    </xdr:grpSp>
    <xdr:clientData/>
  </xdr:twoCellAnchor>
  <xdr:twoCellAnchor>
    <xdr:from>
      <xdr:col>2</xdr:col>
      <xdr:colOff>511969</xdr:colOff>
      <xdr:row>9</xdr:row>
      <xdr:rowOff>142875</xdr:rowOff>
    </xdr:from>
    <xdr:to>
      <xdr:col>10</xdr:col>
      <xdr:colOff>523876</xdr:colOff>
      <xdr:row>24</xdr:row>
      <xdr:rowOff>71437</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550151</xdr:colOff>
      <xdr:row>9</xdr:row>
      <xdr:rowOff>139590</xdr:rowOff>
    </xdr:from>
    <xdr:to>
      <xdr:col>15</xdr:col>
      <xdr:colOff>357188</xdr:colOff>
      <xdr:row>16</xdr:row>
      <xdr:rowOff>166687</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557214</xdr:colOff>
      <xdr:row>17</xdr:row>
      <xdr:rowOff>35720</xdr:rowOff>
    </xdr:from>
    <xdr:to>
      <xdr:col>15</xdr:col>
      <xdr:colOff>381000</xdr:colOff>
      <xdr:row>24</xdr:row>
      <xdr:rowOff>59532</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511969</xdr:colOff>
      <xdr:row>24</xdr:row>
      <xdr:rowOff>106746</xdr:rowOff>
    </xdr:from>
    <xdr:to>
      <xdr:col>9</xdr:col>
      <xdr:colOff>107157</xdr:colOff>
      <xdr:row>37</xdr:row>
      <xdr:rowOff>154780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123168</xdr:colOff>
      <xdr:row>24</xdr:row>
      <xdr:rowOff>90325</xdr:rowOff>
    </xdr:from>
    <xdr:to>
      <xdr:col>15</xdr:col>
      <xdr:colOff>359570</xdr:colOff>
      <xdr:row>38</xdr:row>
      <xdr:rowOff>4765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202405</xdr:colOff>
      <xdr:row>9</xdr:row>
      <xdr:rowOff>147804</xdr:rowOff>
    </xdr:from>
    <xdr:to>
      <xdr:col>2</xdr:col>
      <xdr:colOff>492671</xdr:colOff>
      <xdr:row>29</xdr:row>
      <xdr:rowOff>147801</xdr:rowOff>
    </xdr:to>
    <mc:AlternateContent xmlns:mc="http://schemas.openxmlformats.org/markup-compatibility/2006" xmlns:a14="http://schemas.microsoft.com/office/drawing/2010/main">
      <mc:Choice Requires="a14">
        <xdr:graphicFrame macro="">
          <xdr:nvGraphicFramePr>
            <xdr:cNvPr id="2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2405" y="1773623"/>
              <a:ext cx="1587637" cy="3612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178593</xdr:colOff>
      <xdr:row>30</xdr:row>
      <xdr:rowOff>71437</xdr:rowOff>
    </xdr:from>
    <xdr:to>
      <xdr:col>2</xdr:col>
      <xdr:colOff>500883</xdr:colOff>
      <xdr:row>38</xdr:row>
      <xdr:rowOff>35718</xdr:rowOff>
    </xdr:to>
    <mc:AlternateContent xmlns:mc="http://schemas.openxmlformats.org/markup-compatibility/2006" xmlns:a14="http://schemas.microsoft.com/office/drawing/2010/main">
      <mc:Choice Requires="a14">
        <xdr:graphicFrame macro="">
          <xdr:nvGraphicFramePr>
            <xdr:cNvPr id="29" name="Transaction Type"/>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mlns="">
        <xdr:sp macro="" textlink="">
          <xdr:nvSpPr>
            <xdr:cNvPr id="0" name=""/>
            <xdr:cNvSpPr>
              <a:spLocks noTextEdit="1"/>
            </xdr:cNvSpPr>
          </xdr:nvSpPr>
          <xdr:spPr>
            <a:xfrm>
              <a:off x="178593" y="5490834"/>
              <a:ext cx="1559309" cy="1409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416719</xdr:colOff>
      <xdr:row>9</xdr:row>
      <xdr:rowOff>119061</xdr:rowOff>
    </xdr:from>
    <xdr:to>
      <xdr:col>18</xdr:col>
      <xdr:colOff>95250</xdr:colOff>
      <xdr:row>26</xdr:row>
      <xdr:rowOff>130968</xdr:rowOff>
    </xdr:to>
    <mc:AlternateContent xmlns:mc="http://schemas.openxmlformats.org/markup-compatibility/2006" xmlns:a14="http://schemas.microsoft.com/office/drawing/2010/main">
      <mc:Choice Requires="a14">
        <xdr:graphicFrame macro="">
          <xdr:nvGraphicFramePr>
            <xdr:cNvPr id="30"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147000" y="1744880"/>
              <a:ext cx="1624586" cy="3082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neha" refreshedDate="46161.498695486109" createdVersion="5" refreshedVersion="5" minRefreshableVersion="3" recordCount="1000">
  <cacheSource type="worksheet">
    <worksheetSource name="tb_rawdata"/>
  </cacheSource>
  <cacheFields count="11">
    <cacheField name="Date" numFmtId="0">
      <sharedItems/>
    </cacheField>
    <cacheField name="Month" numFmtId="0">
      <sharedItems count="12">
        <s v="January"/>
        <s v="February"/>
        <s v="March"/>
        <s v="April"/>
        <s v="May"/>
        <s v="June"/>
        <s v="July"/>
        <s v="August"/>
        <s v="September"/>
        <s v="October"/>
        <s v="November"/>
        <s v="December"/>
      </sharedItems>
    </cacheField>
    <cacheField name="Income Source" numFmtId="0">
      <sharedItems containsBlank="1"/>
    </cacheField>
    <cacheField name="Expense Category" numFmtId="0">
      <sharedItems containsBlank="1" count="9">
        <s v="Healthcare"/>
        <s v="Education"/>
        <m/>
        <s v="Shopping"/>
        <s v="Travel"/>
        <s v="Entertainment"/>
        <s v="Rent"/>
        <s v="Food"/>
        <s v="Bills"/>
      </sharedItems>
    </cacheField>
    <cacheField name="Transaction Type" numFmtId="0">
      <sharedItems count="3">
        <s v="Expense"/>
        <s v="Income"/>
        <s v="Investment"/>
      </sharedItems>
    </cacheField>
    <cacheField name="Amount (INR)" numFmtId="0">
      <sharedItems containsSemiMixedTypes="0" containsString="0" containsNumber="1" containsInteger="1" minValue="312" maxValue="190652"/>
    </cacheField>
    <cacheField name="Payment Mode" numFmtId="0">
      <sharedItems count="6">
        <s v="UPI"/>
        <s v="Credit Card"/>
        <s v="Cash"/>
        <s v="Net Banking"/>
        <s v="Wallet"/>
        <s v="Debit Card"/>
      </sharedItems>
    </cacheField>
    <cacheField name="Investment Type" numFmtId="0">
      <sharedItems containsBlank="1" count="7">
        <m/>
        <s v="Crypto"/>
        <s v="Stocks"/>
        <s v="Mutual Funds"/>
        <s v="Gold"/>
        <s v="FD"/>
        <s v="SIP"/>
      </sharedItems>
    </cacheField>
    <cacheField name="Return %" numFmtId="0">
      <sharedItems containsString="0" containsBlank="1" containsNumber="1" minValue="-14.99" maxValue="27.68"/>
    </cacheField>
    <cacheField name="City" numFmtId="0">
      <sharedItems count="10">
        <s v="Lucknow"/>
        <s v="Hyderabad"/>
        <s v="Kolkata"/>
        <s v="Ahmedabad"/>
        <s v="Pune"/>
        <s v="Bengaluru"/>
        <s v="Mumbai"/>
        <s v="Jaipur"/>
        <s v="Delhi"/>
        <s v="Chennai"/>
      </sharedItems>
    </cacheField>
    <cacheField name="Net Amount" numFmtId="0">
      <sharedItems containsSemiMixedTypes="0" containsString="0" containsNumber="1" containsInteger="1" minValue="-190652" maxValue="179282" count="997">
        <n v="-6379"/>
        <n v="-28082"/>
        <n v="125009"/>
        <n v="168862"/>
        <n v="-13208"/>
        <n v="-6024"/>
        <n v="-109668"/>
        <n v="-17269"/>
        <n v="-7507"/>
        <n v="-22465"/>
        <n v="-5090"/>
        <n v="148870"/>
        <n v="-19338"/>
        <n v="-40381"/>
        <n v="-1710"/>
        <n v="-27996"/>
        <n v="45753"/>
        <n v="-34170"/>
        <n v="-24045"/>
        <n v="166818"/>
        <n v="122829"/>
        <n v="-47798"/>
        <n v="-35298"/>
        <n v="95612"/>
        <n v="-28516"/>
        <n v="-48069"/>
        <n v="-5088"/>
        <n v="-2747"/>
        <n v="-123611"/>
        <n v="-2707"/>
        <n v="52133"/>
        <n v="88954"/>
        <n v="-76361"/>
        <n v="-7178"/>
        <n v="122928"/>
        <n v="-14811"/>
        <n v="100249"/>
        <n v="-20503"/>
        <n v="-7050"/>
        <n v="-15028"/>
        <n v="90673"/>
        <n v="-3762"/>
        <n v="83453"/>
        <n v="-20658"/>
        <n v="39631"/>
        <n v="-21181"/>
        <n v="67289"/>
        <n v="-730"/>
        <n v="61659"/>
        <n v="-141944"/>
        <n v="-43247"/>
        <n v="-23176"/>
        <n v="-6748"/>
        <n v="-17656"/>
        <n v="102304"/>
        <n v="75751"/>
        <n v="-36805"/>
        <n v="35717"/>
        <n v="-32807"/>
        <n v="-9765"/>
        <n v="-11165"/>
        <n v="-18026"/>
        <n v="-55346"/>
        <n v="-853"/>
        <n v="-86581"/>
        <n v="-23408"/>
        <n v="-31442"/>
        <n v="175241"/>
        <n v="135476"/>
        <n v="-32480"/>
        <n v="-1283"/>
        <n v="171635"/>
        <n v="-19473"/>
        <n v="-896"/>
        <n v="-532"/>
        <n v="-1231"/>
        <n v="87530"/>
        <n v="-91906"/>
        <n v="138837"/>
        <n v="-162125"/>
        <n v="-39009"/>
        <n v="147531"/>
        <n v="-7895"/>
        <n v="127901"/>
        <n v="-1375"/>
        <n v="33713"/>
        <n v="-2290"/>
        <n v="-4502"/>
        <n v="117099"/>
        <n v="-62994"/>
        <n v="-1265"/>
        <n v="-7437"/>
        <n v="-9390"/>
        <n v="-8908"/>
        <n v="131242"/>
        <n v="176758"/>
        <n v="39439"/>
        <n v="119164"/>
        <n v="-1045"/>
        <n v="-707"/>
        <n v="23036"/>
        <n v="-8975"/>
        <n v="143819"/>
        <n v="74825"/>
        <n v="162585"/>
        <n v="-6753"/>
        <n v="133096"/>
        <n v="-31566"/>
        <n v="-8107"/>
        <n v="78038"/>
        <n v="-1932"/>
        <n v="59010"/>
        <n v="-9237"/>
        <n v="-5591"/>
        <n v="-1376"/>
        <n v="-11007"/>
        <n v="-5434"/>
        <n v="-1583"/>
        <n v="-1455"/>
        <n v="166197"/>
        <n v="-1779"/>
        <n v="55442"/>
        <n v="-4846"/>
        <n v="-3880"/>
        <n v="-941"/>
        <n v="138578"/>
        <n v="-20109"/>
        <n v="-1661"/>
        <n v="-2399"/>
        <n v="-46426"/>
        <n v="-18035"/>
        <n v="126028"/>
        <n v="-19781"/>
        <n v="-6992"/>
        <n v="-6358"/>
        <n v="-4364"/>
        <n v="-62065"/>
        <n v="172815"/>
        <n v="-16962"/>
        <n v="-18410"/>
        <n v="107876"/>
        <n v="-2633"/>
        <n v="-4108"/>
        <n v="169553"/>
        <n v="103719"/>
        <n v="-18697"/>
        <n v="-2735"/>
        <n v="-5805"/>
        <n v="-10255"/>
        <n v="-84537"/>
        <n v="92500"/>
        <n v="-1323"/>
        <n v="-2432"/>
        <n v="125052"/>
        <n v="45426"/>
        <n v="-21937"/>
        <n v="-10913"/>
        <n v="-10324"/>
        <n v="64163"/>
        <n v="-4916"/>
        <n v="-2640"/>
        <n v="-5639"/>
        <n v="147214"/>
        <n v="-18834"/>
        <n v="32479"/>
        <n v="30373"/>
        <n v="-20849"/>
        <n v="-26562"/>
        <n v="-41459"/>
        <n v="-32393"/>
        <n v="-18626"/>
        <n v="72771"/>
        <n v="131987"/>
        <n v="42856"/>
        <n v="118259"/>
        <n v="53147"/>
        <n v="17975"/>
        <n v="103627"/>
        <n v="174612"/>
        <n v="-19402"/>
        <n v="-33631"/>
        <n v="-4988"/>
        <n v="-13407"/>
        <n v="-1548"/>
        <n v="159127"/>
        <n v="-2507"/>
        <n v="-11436"/>
        <n v="-28288"/>
        <n v="-37956"/>
        <n v="-1865"/>
        <n v="-8363"/>
        <n v="-12770"/>
        <n v="-7887"/>
        <n v="-14596"/>
        <n v="-16608"/>
        <n v="-35651"/>
        <n v="-8779"/>
        <n v="73271"/>
        <n v="165134"/>
        <n v="-10877"/>
        <n v="162159"/>
        <n v="-1570"/>
        <n v="138851"/>
        <n v="-39684"/>
        <n v="-14922"/>
        <n v="-23618"/>
        <n v="176736"/>
        <n v="-6031"/>
        <n v="24270"/>
        <n v="-8096"/>
        <n v="55056"/>
        <n v="-16620"/>
        <n v="-19609"/>
        <n v="-6595"/>
        <n v="127094"/>
        <n v="-7214"/>
        <n v="103236"/>
        <n v="-13143"/>
        <n v="96099"/>
        <n v="68883"/>
        <n v="-4300"/>
        <n v="-1902"/>
        <n v="-23095"/>
        <n v="-5854"/>
        <n v="-3312"/>
        <n v="-46280"/>
        <n v="-1035"/>
        <n v="-143017"/>
        <n v="-1832"/>
        <n v="99052"/>
        <n v="-6535"/>
        <n v="-36078"/>
        <n v="47778"/>
        <n v="-9734"/>
        <n v="-4805"/>
        <n v="-9450"/>
        <n v="67619"/>
        <n v="125352"/>
        <n v="-12636"/>
        <n v="75322"/>
        <n v="-895"/>
        <n v="-14314"/>
        <n v="-11681"/>
        <n v="-10632"/>
        <n v="-2403"/>
        <n v="-42356"/>
        <n v="-74316"/>
        <n v="-31063"/>
        <n v="152464"/>
        <n v="-3128"/>
        <n v="80556"/>
        <n v="100813"/>
        <n v="-7388"/>
        <n v="-16654"/>
        <n v="76657"/>
        <n v="-2227"/>
        <n v="92338"/>
        <n v="-42307"/>
        <n v="-16174"/>
        <n v="77993"/>
        <n v="-7212"/>
        <n v="-5803"/>
        <n v="80211"/>
        <n v="179282"/>
        <n v="-3302"/>
        <n v="-6878"/>
        <n v="-6324"/>
        <n v="-17661"/>
        <n v="54203"/>
        <n v="-1225"/>
        <n v="35044"/>
        <n v="-18888"/>
        <n v="-7523"/>
        <n v="-18979"/>
        <n v="-2880"/>
        <n v="91173"/>
        <n v="-24492"/>
        <n v="-20382"/>
        <n v="-4340"/>
        <n v="90505"/>
        <n v="36479"/>
        <n v="80456"/>
        <n v="-35437"/>
        <n v="-22666"/>
        <n v="-190652"/>
        <n v="106876"/>
        <n v="-31178"/>
        <n v="-75289"/>
        <n v="-2937"/>
        <n v="-2988"/>
        <n v="73784"/>
        <n v="-6411"/>
        <n v="-23340"/>
        <n v="-169614"/>
        <n v="-23987"/>
        <n v="-8633"/>
        <n v="-152133"/>
        <n v="-6989"/>
        <n v="150779"/>
        <n v="15179"/>
        <n v="-47411"/>
        <n v="158058"/>
        <n v="-40517"/>
        <n v="-9317"/>
        <n v="-3644"/>
        <n v="-1187"/>
        <n v="20688"/>
        <n v="-10783"/>
        <n v="-8085"/>
        <n v="-10470"/>
        <n v="50982"/>
        <n v="-23228"/>
        <n v="-5613"/>
        <n v="-3525"/>
        <n v="-45352"/>
        <n v="65627"/>
        <n v="-14145"/>
        <n v="101619"/>
        <n v="-163910"/>
        <n v="-54969"/>
        <n v="97719"/>
        <n v="-3964"/>
        <n v="-20830"/>
        <n v="39092"/>
        <n v="-7025"/>
        <n v="156597"/>
        <n v="66713"/>
        <n v="-746"/>
        <n v="104940"/>
        <n v="71160"/>
        <n v="-1126"/>
        <n v="164886"/>
        <n v="93642"/>
        <n v="128897"/>
        <n v="154209"/>
        <n v="-7613"/>
        <n v="-42621"/>
        <n v="-37384"/>
        <n v="-13496"/>
        <n v="-7479"/>
        <n v="-4716"/>
        <n v="127739"/>
        <n v="-4816"/>
        <n v="-3225"/>
        <n v="-6581"/>
        <n v="-14192"/>
        <n v="117163"/>
        <n v="-9689"/>
        <n v="58391"/>
        <n v="167199"/>
        <n v="-82924"/>
        <n v="126034"/>
        <n v="-29560"/>
        <n v="17026"/>
        <n v="-402"/>
        <n v="-11688"/>
        <n v="-56785"/>
        <n v="-47762"/>
        <n v="-36774"/>
        <n v="162913"/>
        <n v="77799"/>
        <n v="-4229"/>
        <n v="81850"/>
        <n v="-5908"/>
        <n v="43336"/>
        <n v="-1886"/>
        <n v="-448"/>
        <n v="-9923"/>
        <n v="-19954"/>
        <n v="-36601"/>
        <n v="-20232"/>
        <n v="-29688"/>
        <n v="-6035"/>
        <n v="27856"/>
        <n v="-457"/>
        <n v="-155364"/>
        <n v="-52292"/>
        <n v="-3371"/>
        <n v="-12463"/>
        <n v="159309"/>
        <n v="-12506"/>
        <n v="-124820"/>
        <n v="-9735"/>
        <n v="-8747"/>
        <n v="-2450"/>
        <n v="176995"/>
        <n v="57705"/>
        <n v="-6193"/>
        <n v="-2835"/>
        <n v="-14118"/>
        <n v="-36241"/>
        <n v="-14464"/>
        <n v="167039"/>
        <n v="-20392"/>
        <n v="-10810"/>
        <n v="-18325"/>
        <n v="133227"/>
        <n v="-4156"/>
        <n v="166023"/>
        <n v="-5168"/>
        <n v="-104800"/>
        <n v="78780"/>
        <n v="-3549"/>
        <n v="75298"/>
        <n v="-16716"/>
        <n v="121063"/>
        <n v="-797"/>
        <n v="-5183"/>
        <n v="-73195"/>
        <n v="-682"/>
        <n v="24103"/>
        <n v="-92289"/>
        <n v="-94003"/>
        <n v="-74170"/>
        <n v="-399"/>
        <n v="31585"/>
        <n v="50730"/>
        <n v="52056"/>
        <n v="-9346"/>
        <n v="-5444"/>
        <n v="145358"/>
        <n v="-33053"/>
        <n v="-30430"/>
        <n v="-17601"/>
        <n v="-3354"/>
        <n v="-11447"/>
        <n v="-3266"/>
        <n v="129327"/>
        <n v="-2282"/>
        <n v="-6981"/>
        <n v="118712"/>
        <n v="-8962"/>
        <n v="-2255"/>
        <n v="-20217"/>
        <n v="-31528"/>
        <n v="-2557"/>
        <n v="-8340"/>
        <n v="163997"/>
        <n v="-46523"/>
        <n v="-48026"/>
        <n v="-7032"/>
        <n v="93442"/>
        <n v="45168"/>
        <n v="-3470"/>
        <n v="-58903"/>
        <n v="173591"/>
        <n v="-18970"/>
        <n v="-15578"/>
        <n v="-42436"/>
        <n v="-19090"/>
        <n v="-10480"/>
        <n v="-2324"/>
        <n v="83774"/>
        <n v="-9417"/>
        <n v="133109"/>
        <n v="-5519"/>
        <n v="-19571"/>
        <n v="-20235"/>
        <n v="-41750"/>
        <n v="-5880"/>
        <n v="-11886"/>
        <n v="-1221"/>
        <n v="-18754"/>
        <n v="-19118"/>
        <n v="28274"/>
        <n v="-1523"/>
        <n v="163000"/>
        <n v="113638"/>
        <n v="100200"/>
        <n v="-14869"/>
        <n v="-2647"/>
        <n v="-65387"/>
        <n v="57180"/>
        <n v="159520"/>
        <n v="-432"/>
        <n v="-1567"/>
        <n v="-52397"/>
        <n v="-59594"/>
        <n v="-6335"/>
        <n v="-41840"/>
        <n v="-5581"/>
        <n v="-6811"/>
        <n v="33717"/>
        <n v="-18946"/>
        <n v="-14450"/>
        <n v="111228"/>
        <n v="-4450"/>
        <n v="60967"/>
        <n v="76481"/>
        <n v="-19795"/>
        <n v="-3711"/>
        <n v="-22895"/>
        <n v="-42377"/>
        <n v="-37154"/>
        <n v="-16683"/>
        <n v="56273"/>
        <n v="-3019"/>
        <n v="-57047"/>
        <n v="155020"/>
        <n v="-21171"/>
        <n v="-1733"/>
        <n v="111294"/>
        <n v="-11697"/>
        <n v="-810"/>
        <n v="-11008"/>
        <n v="67376"/>
        <n v="-24086"/>
        <n v="-1241"/>
        <n v="-79919"/>
        <n v="-4876"/>
        <n v="-7471"/>
        <n v="-44248"/>
        <n v="84021"/>
        <n v="69204"/>
        <n v="115748"/>
        <n v="-41810"/>
        <n v="-59859"/>
        <n v="-5667"/>
        <n v="-10898"/>
        <n v="-25723"/>
        <n v="-32840"/>
        <n v="-2603"/>
        <n v="176616"/>
        <n v="-63790"/>
        <n v="-34401"/>
        <n v="-18522"/>
        <n v="-1196"/>
        <n v="84521"/>
        <n v="-2953"/>
        <n v="105165"/>
        <n v="110638"/>
        <n v="-95203"/>
        <n v="152839"/>
        <n v="-1568"/>
        <n v="-37541"/>
        <n v="-53422"/>
        <n v="-8429"/>
        <n v="-6960"/>
        <n v="-11623"/>
        <n v="-3185"/>
        <n v="-58773"/>
        <n v="-28327"/>
        <n v="-18488"/>
        <n v="-7549"/>
        <n v="36638"/>
        <n v="-45500"/>
        <n v="66727"/>
        <n v="-22922"/>
        <n v="135323"/>
        <n v="139042"/>
        <n v="-14179"/>
        <n v="-16117"/>
        <n v="16453"/>
        <n v="-13585"/>
        <n v="-24962"/>
        <n v="-2349"/>
        <n v="-32087"/>
        <n v="152438"/>
        <n v="-717"/>
        <n v="49394"/>
        <n v="-8476"/>
        <n v="-3097"/>
        <n v="-13641"/>
        <n v="-40975"/>
        <n v="-7280"/>
        <n v="-22615"/>
        <n v="-57358"/>
        <n v="-8011"/>
        <n v="-27131"/>
        <n v="73005"/>
        <n v="-44669"/>
        <n v="-60970"/>
        <n v="-41347"/>
        <n v="113031"/>
        <n v="169353"/>
        <n v="156402"/>
        <n v="-43866"/>
        <n v="-79572"/>
        <n v="-14162"/>
        <n v="-4772"/>
        <n v="-16498"/>
        <n v="-11144"/>
        <n v="-37430"/>
        <n v="-16040"/>
        <n v="-126893"/>
        <n v="-47687"/>
        <n v="78062"/>
        <n v="-7243"/>
        <n v="110591"/>
        <n v="-44431"/>
        <n v="-3684"/>
        <n v="-70028"/>
        <n v="-2509"/>
        <n v="85800"/>
        <n v="-3044"/>
        <n v="-11314"/>
        <n v="-117209"/>
        <n v="133260"/>
        <n v="-34813"/>
        <n v="-2091"/>
        <n v="-3455"/>
        <n v="-6262"/>
        <n v="150830"/>
        <n v="19023"/>
        <n v="-5044"/>
        <n v="127415"/>
        <n v="-93357"/>
        <n v="22588"/>
        <n v="-16335"/>
        <n v="175878"/>
        <n v="-22554"/>
        <n v="107421"/>
        <n v="-42555"/>
        <n v="34521"/>
        <n v="87695"/>
        <n v="-180875"/>
        <n v="-37103"/>
        <n v="156978"/>
        <n v="-10667"/>
        <n v="-1182"/>
        <n v="-3603"/>
        <n v="73129"/>
        <n v="-111198"/>
        <n v="-19545"/>
        <n v="-15399"/>
        <n v="-7313"/>
        <n v="-47966"/>
        <n v="-6545"/>
        <n v="51642"/>
        <n v="-9654"/>
        <n v="-18103"/>
        <n v="146027"/>
        <n v="16774"/>
        <n v="-8472"/>
        <n v="-68922"/>
        <n v="-312"/>
        <n v="-58066"/>
        <n v="107320"/>
        <n v="-16779"/>
        <n v="131164"/>
        <n v="-6125"/>
        <n v="63352"/>
        <n v="-118180"/>
        <n v="-5951"/>
        <n v="-1502"/>
        <n v="-7751"/>
        <n v="-45638"/>
        <n v="-10002"/>
        <n v="-17250"/>
        <n v="-72643"/>
        <n v="-422"/>
        <n v="-43122"/>
        <n v="-954"/>
        <n v="-46129"/>
        <n v="-4274"/>
        <n v="-2936"/>
        <n v="-3828"/>
        <n v="-50510"/>
        <n v="135665"/>
        <n v="90524"/>
        <n v="-8608"/>
        <n v="-5730"/>
        <n v="-2846"/>
        <n v="74316"/>
        <n v="-31481"/>
        <n v="38417"/>
        <n v="-34930"/>
        <n v="-19138"/>
        <n v="-10757"/>
        <n v="-5171"/>
        <n v="-36715"/>
        <n v="-28953"/>
        <n v="-2840"/>
        <n v="-10439"/>
        <n v="-4646"/>
        <n v="-9251"/>
        <n v="-572"/>
        <n v="-93123"/>
        <n v="131780"/>
        <n v="23089"/>
        <n v="-8075"/>
        <n v="85442"/>
        <n v="-16480"/>
        <n v="-1694"/>
        <n v="148990"/>
        <n v="29053"/>
        <n v="54885"/>
        <n v="155914"/>
        <n v="-18892"/>
        <n v="165019"/>
        <n v="-146277"/>
        <n v="96677"/>
        <n v="89342"/>
        <n v="-134672"/>
        <n v="114917"/>
        <n v="-1408"/>
        <n v="-4996"/>
        <n v="-24598"/>
        <n v="-12499"/>
        <n v="-1379"/>
        <n v="-70363"/>
        <n v="133101"/>
        <n v="-16412"/>
        <n v="-10988"/>
        <n v="133466"/>
        <n v="-138410"/>
        <n v="-599"/>
        <n v="-16110"/>
        <n v="-11948"/>
        <n v="146640"/>
        <n v="64828"/>
        <n v="-19397"/>
        <n v="41552"/>
        <n v="-6504"/>
        <n v="17332"/>
        <n v="127330"/>
        <n v="-68806"/>
        <n v="-4460"/>
        <n v="101766"/>
        <n v="-82300"/>
        <n v="-41986"/>
        <n v="32987"/>
        <n v="68849"/>
        <n v="59433"/>
        <n v="-173977"/>
        <n v="-3007"/>
        <n v="-36367"/>
        <n v="-5142"/>
        <n v="-8561"/>
        <n v="-20721"/>
        <n v="-1749"/>
        <n v="151473"/>
        <n v="-32760"/>
        <n v="-20561"/>
        <n v="-340"/>
        <n v="-3085"/>
        <n v="-7873"/>
        <n v="-38533"/>
        <n v="49722"/>
        <n v="-10354"/>
        <n v="-27968"/>
        <n v="-19895"/>
        <n v="-6293"/>
        <n v="-126613"/>
        <n v="51327"/>
        <n v="-3590"/>
        <n v="-12703"/>
        <n v="167701"/>
        <n v="-11517"/>
        <n v="-2296"/>
        <n v="-51486"/>
        <n v="-24253"/>
        <n v="-24147"/>
        <n v="-18668"/>
        <n v="-27048"/>
        <n v="-4142"/>
        <n v="-11273"/>
        <n v="-608"/>
        <n v="32235"/>
        <n v="80887"/>
        <n v="-12712"/>
        <n v="173552"/>
        <n v="-1844"/>
        <n v="16885"/>
        <n v="114390"/>
        <n v="76079"/>
        <n v="-4932"/>
        <n v="-4903"/>
        <n v="46813"/>
        <n v="-756"/>
        <n v="-23955"/>
        <n v="-55181"/>
        <n v="-15107"/>
        <n v="-3757"/>
        <n v="-927"/>
        <n v="-170844"/>
        <n v="-18265"/>
        <n v="-18330"/>
        <n v="-36089"/>
        <n v="-38586"/>
        <n v="-15701"/>
        <n v="-9228"/>
        <n v="-37026"/>
        <n v="-9161"/>
        <n v="-7517"/>
        <n v="-20162"/>
        <n v="49264"/>
        <n v="-16629"/>
        <n v="-21299"/>
        <n v="-11118"/>
        <n v="25418"/>
        <n v="-9564"/>
        <n v="-5089"/>
        <n v="-23772"/>
        <n v="-15998"/>
        <n v="-16353"/>
        <n v="-1730"/>
        <n v="-2189"/>
        <n v="-884"/>
        <n v="-855"/>
        <n v="157372"/>
        <n v="173693"/>
        <n v="-9786"/>
        <n v="119342"/>
        <n v="92392"/>
        <n v="-1590"/>
        <n v="-6661"/>
        <n v="60925"/>
        <n v="-5721"/>
        <n v="167967"/>
        <n v="155742"/>
        <n v="142228"/>
        <n v="-1776"/>
        <n v="118376"/>
        <n v="-2685"/>
        <n v="-46115"/>
        <n v="-18114"/>
        <n v="-17794"/>
        <n v="-11744"/>
        <n v="-12161"/>
        <n v="78724"/>
        <n v="80561"/>
        <n v="71555"/>
        <n v="-3987"/>
        <n v="116477"/>
        <n v="-32024"/>
        <n v="-1296"/>
        <n v="159597"/>
        <n v="131671"/>
        <n v="-39032"/>
        <n v="27760"/>
        <n v="-17623"/>
        <n v="52929"/>
        <n v="-12893"/>
        <n v="94125"/>
        <n v="-3262"/>
        <n v="176378"/>
        <n v="-4381"/>
        <n v="94015"/>
        <n v="-5663"/>
        <n v="-11601"/>
        <n v="-3514"/>
        <n v="-57947"/>
        <n v="-16012"/>
        <n v="-24355"/>
        <n v="-36054"/>
        <n v="152139"/>
        <n v="-74721"/>
        <n v="-189079"/>
        <n v="-9642"/>
        <n v="-70329"/>
        <n v="-96342"/>
        <n v="-5656"/>
        <n v="119190"/>
        <n v="-20041"/>
        <n v="-7610"/>
        <n v="156944"/>
        <n v="-9996"/>
        <n v="-5431"/>
        <n v="-18254"/>
        <n v="-33047"/>
        <n v="33451"/>
        <n v="86330"/>
        <n v="-619"/>
        <n v="98305"/>
        <n v="-5824"/>
        <n v="41013"/>
        <n v="-7712"/>
        <n v="139141"/>
        <n v="-29532"/>
        <n v="-6740"/>
        <n v="-14565"/>
        <n v="35311"/>
        <n v="-6660"/>
        <n v="-29606"/>
        <n v="31541"/>
        <n v="-3685"/>
        <n v="-15943"/>
        <n v="-32802"/>
        <n v="-4655"/>
        <n v="-9391"/>
        <n v="50855"/>
        <n v="36675"/>
        <n v="87097"/>
        <n v="-42586"/>
        <n v="124039"/>
        <n v="-22933"/>
        <n v="-2339"/>
        <n v="-14822"/>
        <n v="-20933"/>
        <n v="-2871"/>
        <n v="-11279"/>
        <n v="-18887"/>
        <n v="-42613"/>
        <n v="-52965"/>
        <n v="-6970"/>
        <n v="17218"/>
        <n v="-46960"/>
        <n v="58084"/>
        <n v="-1042"/>
        <n v="-6277"/>
        <n v="-16963"/>
        <n v="-964"/>
        <n v="70851"/>
        <n v="99192"/>
        <n v="-81757"/>
        <n v="-5829"/>
        <n v="79823"/>
        <n v="-1686"/>
        <n v="173698"/>
        <n v="-43542"/>
        <n v="-35860"/>
        <n v="-14592"/>
        <n v="-22449"/>
        <n v="-6453"/>
        <n v="71095"/>
        <n v="-3318"/>
        <n v="29656"/>
        <n v="-8759"/>
        <n v="177335"/>
        <n v="-138724"/>
        <n v="-29886"/>
        <n v="-11532"/>
        <n v="156370"/>
        <n v="-10146"/>
        <n v="-6737"/>
        <n v="-114447"/>
        <n v="-14085"/>
        <n v="20175"/>
        <n v="85772"/>
        <n v="35988"/>
        <n v="171538"/>
        <n v="-48214"/>
        <n v="84328"/>
        <n v="-92291"/>
        <n v="-44044"/>
        <n v="-28022"/>
        <n v="123106"/>
        <n v="101456"/>
        <n v="57188"/>
        <n v="-14689"/>
        <n v="61612"/>
        <n v="177096"/>
        <n v="-24773"/>
        <n v="-11609"/>
        <n v="-13577"/>
        <n v="60578"/>
        <n v="-19452"/>
        <n v="-6128"/>
        <n v="-667"/>
        <n v="-33216"/>
        <n v="-22003"/>
        <n v="-157720"/>
        <n v="-2134"/>
        <n v="-84002"/>
        <n v="-21472"/>
        <n v="-1030"/>
        <n v="-45031"/>
        <n v="-394"/>
        <n v="-17062"/>
        <n v="139938"/>
        <n v="-18401"/>
        <n v="15471"/>
        <n v="141929"/>
        <n v="139575"/>
        <n v="45991"/>
        <n v="-12999"/>
        <n v="-31084"/>
        <n v="-18753"/>
        <n v="-5512"/>
        <n v="-15899"/>
        <n v="-35676"/>
        <n v="-5213"/>
        <n v="36133"/>
        <n v="-5611"/>
        <n v="-30530"/>
        <n v="-808"/>
        <n v="42502"/>
        <n v="-78311"/>
        <n v="-12661"/>
        <n v="-165666"/>
        <n v="-41336"/>
        <n v="17439"/>
        <n v="-16246"/>
        <n v="-1650"/>
        <n v="-47048"/>
        <n v="139992"/>
        <n v="-945"/>
        <n v="58253"/>
        <n v="-55604"/>
        <n v="-474"/>
        <n v="-1897"/>
        <n v="-12434"/>
        <n v="-7817"/>
        <n v="89461"/>
        <n v="-2517"/>
        <n v="-767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2024-01-01"/>
    <x v="0"/>
    <m/>
    <x v="0"/>
    <x v="0"/>
    <n v="6379"/>
    <x v="0"/>
    <x v="0"/>
    <m/>
    <x v="0"/>
    <x v="0"/>
  </r>
  <r>
    <s v="2024-01-02"/>
    <x v="0"/>
    <m/>
    <x v="1"/>
    <x v="0"/>
    <n v="28082"/>
    <x v="0"/>
    <x v="0"/>
    <m/>
    <x v="1"/>
    <x v="1"/>
  </r>
  <r>
    <s v="2024-01-02"/>
    <x v="0"/>
    <s v="Bonus"/>
    <x v="2"/>
    <x v="1"/>
    <n v="125009"/>
    <x v="1"/>
    <x v="0"/>
    <m/>
    <x v="2"/>
    <x v="2"/>
  </r>
  <r>
    <s v="2024-01-03"/>
    <x v="0"/>
    <s v="Business"/>
    <x v="2"/>
    <x v="1"/>
    <n v="168862"/>
    <x v="2"/>
    <x v="0"/>
    <m/>
    <x v="3"/>
    <x v="3"/>
  </r>
  <r>
    <s v="2024-01-03"/>
    <x v="0"/>
    <m/>
    <x v="2"/>
    <x v="2"/>
    <n v="13208"/>
    <x v="3"/>
    <x v="1"/>
    <n v="16.43"/>
    <x v="4"/>
    <x v="4"/>
  </r>
  <r>
    <s v="2024-01-05"/>
    <x v="0"/>
    <m/>
    <x v="3"/>
    <x v="0"/>
    <n v="6024"/>
    <x v="2"/>
    <x v="0"/>
    <m/>
    <x v="5"/>
    <x v="5"/>
  </r>
  <r>
    <s v="2024-01-06"/>
    <x v="0"/>
    <m/>
    <x v="2"/>
    <x v="2"/>
    <n v="109668"/>
    <x v="3"/>
    <x v="2"/>
    <n v="13.07"/>
    <x v="3"/>
    <x v="6"/>
  </r>
  <r>
    <s v="2024-01-07"/>
    <x v="0"/>
    <m/>
    <x v="2"/>
    <x v="2"/>
    <n v="17269"/>
    <x v="4"/>
    <x v="3"/>
    <n v="8.2899999999999991"/>
    <x v="6"/>
    <x v="7"/>
  </r>
  <r>
    <s v="2024-01-07"/>
    <x v="0"/>
    <m/>
    <x v="4"/>
    <x v="0"/>
    <n v="7507"/>
    <x v="1"/>
    <x v="0"/>
    <m/>
    <x v="1"/>
    <x v="8"/>
  </r>
  <r>
    <s v="2024-01-08"/>
    <x v="0"/>
    <m/>
    <x v="3"/>
    <x v="0"/>
    <n v="22465"/>
    <x v="4"/>
    <x v="0"/>
    <m/>
    <x v="1"/>
    <x v="9"/>
  </r>
  <r>
    <s v="2024-01-10"/>
    <x v="0"/>
    <m/>
    <x v="5"/>
    <x v="0"/>
    <n v="5090"/>
    <x v="1"/>
    <x v="0"/>
    <m/>
    <x v="6"/>
    <x v="10"/>
  </r>
  <r>
    <s v="2024-01-11"/>
    <x v="0"/>
    <s v="Freelancing"/>
    <x v="2"/>
    <x v="1"/>
    <n v="148870"/>
    <x v="4"/>
    <x v="0"/>
    <m/>
    <x v="7"/>
    <x v="11"/>
  </r>
  <r>
    <s v="2024-01-13"/>
    <x v="0"/>
    <m/>
    <x v="0"/>
    <x v="0"/>
    <n v="19338"/>
    <x v="0"/>
    <x v="0"/>
    <m/>
    <x v="4"/>
    <x v="12"/>
  </r>
  <r>
    <s v="2024-01-14"/>
    <x v="0"/>
    <m/>
    <x v="6"/>
    <x v="0"/>
    <n v="40381"/>
    <x v="1"/>
    <x v="0"/>
    <m/>
    <x v="8"/>
    <x v="13"/>
  </r>
  <r>
    <s v="2024-01-14"/>
    <x v="0"/>
    <m/>
    <x v="7"/>
    <x v="0"/>
    <n v="1710"/>
    <x v="1"/>
    <x v="0"/>
    <m/>
    <x v="6"/>
    <x v="14"/>
  </r>
  <r>
    <s v="2024-01-15"/>
    <x v="0"/>
    <m/>
    <x v="6"/>
    <x v="0"/>
    <n v="27996"/>
    <x v="3"/>
    <x v="0"/>
    <m/>
    <x v="3"/>
    <x v="15"/>
  </r>
  <r>
    <s v="2024-01-16"/>
    <x v="0"/>
    <s v="Freelancing"/>
    <x v="2"/>
    <x v="1"/>
    <n v="45753"/>
    <x v="4"/>
    <x v="0"/>
    <m/>
    <x v="3"/>
    <x v="16"/>
  </r>
  <r>
    <s v="2024-01-16"/>
    <x v="0"/>
    <m/>
    <x v="2"/>
    <x v="2"/>
    <n v="34170"/>
    <x v="1"/>
    <x v="4"/>
    <n v="16.920000000000002"/>
    <x v="1"/>
    <x v="17"/>
  </r>
  <r>
    <s v="2024-01-17"/>
    <x v="0"/>
    <m/>
    <x v="3"/>
    <x v="0"/>
    <n v="24045"/>
    <x v="1"/>
    <x v="0"/>
    <m/>
    <x v="9"/>
    <x v="18"/>
  </r>
  <r>
    <s v="2024-01-17"/>
    <x v="0"/>
    <s v="Rental Income"/>
    <x v="2"/>
    <x v="1"/>
    <n v="166818"/>
    <x v="4"/>
    <x v="0"/>
    <m/>
    <x v="2"/>
    <x v="19"/>
  </r>
  <r>
    <s v="2024-01-17"/>
    <x v="0"/>
    <s v="Rental Income"/>
    <x v="2"/>
    <x v="1"/>
    <n v="122829"/>
    <x v="0"/>
    <x v="0"/>
    <m/>
    <x v="6"/>
    <x v="20"/>
  </r>
  <r>
    <s v="2024-01-17"/>
    <x v="0"/>
    <m/>
    <x v="2"/>
    <x v="2"/>
    <n v="47798"/>
    <x v="4"/>
    <x v="5"/>
    <n v="17.350000000000001"/>
    <x v="2"/>
    <x v="21"/>
  </r>
  <r>
    <s v="2024-01-18"/>
    <x v="0"/>
    <m/>
    <x v="6"/>
    <x v="0"/>
    <n v="35298"/>
    <x v="2"/>
    <x v="0"/>
    <m/>
    <x v="9"/>
    <x v="22"/>
  </r>
  <r>
    <s v="2024-01-20"/>
    <x v="0"/>
    <s v="Business"/>
    <x v="2"/>
    <x v="1"/>
    <n v="95612"/>
    <x v="1"/>
    <x v="0"/>
    <m/>
    <x v="6"/>
    <x v="23"/>
  </r>
  <r>
    <s v="2024-01-20"/>
    <x v="0"/>
    <m/>
    <x v="6"/>
    <x v="0"/>
    <n v="28516"/>
    <x v="2"/>
    <x v="0"/>
    <m/>
    <x v="2"/>
    <x v="24"/>
  </r>
  <r>
    <s v="2024-01-20"/>
    <x v="0"/>
    <m/>
    <x v="2"/>
    <x v="2"/>
    <n v="48069"/>
    <x v="3"/>
    <x v="1"/>
    <n v="5.63"/>
    <x v="4"/>
    <x v="25"/>
  </r>
  <r>
    <s v="2024-01-20"/>
    <x v="0"/>
    <m/>
    <x v="2"/>
    <x v="2"/>
    <n v="5088"/>
    <x v="2"/>
    <x v="1"/>
    <n v="19.940000000000001"/>
    <x v="2"/>
    <x v="26"/>
  </r>
  <r>
    <s v="2024-01-21"/>
    <x v="0"/>
    <m/>
    <x v="5"/>
    <x v="0"/>
    <n v="2747"/>
    <x v="5"/>
    <x v="0"/>
    <m/>
    <x v="3"/>
    <x v="27"/>
  </r>
  <r>
    <s v="2024-01-22"/>
    <x v="0"/>
    <m/>
    <x v="2"/>
    <x v="2"/>
    <n v="123611"/>
    <x v="5"/>
    <x v="2"/>
    <n v="20.78"/>
    <x v="8"/>
    <x v="28"/>
  </r>
  <r>
    <s v="2024-01-22"/>
    <x v="0"/>
    <m/>
    <x v="8"/>
    <x v="0"/>
    <n v="2707"/>
    <x v="5"/>
    <x v="0"/>
    <m/>
    <x v="6"/>
    <x v="29"/>
  </r>
  <r>
    <s v="2024-01-23"/>
    <x v="0"/>
    <s v="Dividends"/>
    <x v="2"/>
    <x v="1"/>
    <n v="52133"/>
    <x v="0"/>
    <x v="0"/>
    <m/>
    <x v="7"/>
    <x v="30"/>
  </r>
  <r>
    <s v="2024-01-23"/>
    <x v="0"/>
    <s v="Salary"/>
    <x v="2"/>
    <x v="1"/>
    <n v="88954"/>
    <x v="5"/>
    <x v="0"/>
    <m/>
    <x v="5"/>
    <x v="31"/>
  </r>
  <r>
    <s v="2024-01-24"/>
    <x v="0"/>
    <m/>
    <x v="2"/>
    <x v="2"/>
    <n v="76361"/>
    <x v="3"/>
    <x v="4"/>
    <n v="3.24"/>
    <x v="1"/>
    <x v="32"/>
  </r>
  <r>
    <s v="2024-01-24"/>
    <x v="0"/>
    <m/>
    <x v="3"/>
    <x v="0"/>
    <n v="7178"/>
    <x v="2"/>
    <x v="0"/>
    <m/>
    <x v="7"/>
    <x v="33"/>
  </r>
  <r>
    <s v="2024-01-26"/>
    <x v="0"/>
    <s v="Business"/>
    <x v="2"/>
    <x v="1"/>
    <n v="122928"/>
    <x v="4"/>
    <x v="0"/>
    <m/>
    <x v="1"/>
    <x v="34"/>
  </r>
  <r>
    <s v="2024-01-27"/>
    <x v="0"/>
    <m/>
    <x v="6"/>
    <x v="0"/>
    <n v="14811"/>
    <x v="5"/>
    <x v="0"/>
    <m/>
    <x v="0"/>
    <x v="35"/>
  </r>
  <r>
    <s v="2024-01-30"/>
    <x v="0"/>
    <s v="Business"/>
    <x v="2"/>
    <x v="1"/>
    <n v="100249"/>
    <x v="3"/>
    <x v="0"/>
    <m/>
    <x v="3"/>
    <x v="36"/>
  </r>
  <r>
    <s v="2024-02-02"/>
    <x v="1"/>
    <m/>
    <x v="6"/>
    <x v="0"/>
    <n v="20503"/>
    <x v="0"/>
    <x v="0"/>
    <m/>
    <x v="3"/>
    <x v="37"/>
  </r>
  <r>
    <s v="2024-02-02"/>
    <x v="1"/>
    <m/>
    <x v="2"/>
    <x v="2"/>
    <n v="7050"/>
    <x v="0"/>
    <x v="4"/>
    <n v="-4.6500000000000004"/>
    <x v="8"/>
    <x v="38"/>
  </r>
  <r>
    <s v="2024-02-03"/>
    <x v="1"/>
    <m/>
    <x v="3"/>
    <x v="0"/>
    <n v="15028"/>
    <x v="3"/>
    <x v="0"/>
    <m/>
    <x v="1"/>
    <x v="39"/>
  </r>
  <r>
    <s v="2024-02-03"/>
    <x v="1"/>
    <s v="Rental Income"/>
    <x v="2"/>
    <x v="1"/>
    <n v="90673"/>
    <x v="1"/>
    <x v="0"/>
    <m/>
    <x v="3"/>
    <x v="40"/>
  </r>
  <r>
    <s v="2024-02-03"/>
    <x v="1"/>
    <m/>
    <x v="8"/>
    <x v="0"/>
    <n v="3762"/>
    <x v="5"/>
    <x v="0"/>
    <m/>
    <x v="4"/>
    <x v="41"/>
  </r>
  <r>
    <s v="2024-02-04"/>
    <x v="1"/>
    <s v="Business"/>
    <x v="2"/>
    <x v="1"/>
    <n v="83453"/>
    <x v="0"/>
    <x v="0"/>
    <m/>
    <x v="8"/>
    <x v="42"/>
  </r>
  <r>
    <s v="2024-02-04"/>
    <x v="1"/>
    <m/>
    <x v="3"/>
    <x v="0"/>
    <n v="20658"/>
    <x v="1"/>
    <x v="0"/>
    <m/>
    <x v="6"/>
    <x v="43"/>
  </r>
  <r>
    <s v="2024-02-04"/>
    <x v="1"/>
    <s v="Dividends"/>
    <x v="2"/>
    <x v="1"/>
    <n v="39631"/>
    <x v="2"/>
    <x v="0"/>
    <m/>
    <x v="1"/>
    <x v="44"/>
  </r>
  <r>
    <s v="2024-02-06"/>
    <x v="1"/>
    <m/>
    <x v="3"/>
    <x v="0"/>
    <n v="21181"/>
    <x v="4"/>
    <x v="0"/>
    <m/>
    <x v="9"/>
    <x v="45"/>
  </r>
  <r>
    <s v="2024-02-07"/>
    <x v="1"/>
    <s v="Salary"/>
    <x v="2"/>
    <x v="1"/>
    <n v="67289"/>
    <x v="0"/>
    <x v="0"/>
    <m/>
    <x v="4"/>
    <x v="46"/>
  </r>
  <r>
    <s v="2024-02-08"/>
    <x v="1"/>
    <m/>
    <x v="8"/>
    <x v="0"/>
    <n v="730"/>
    <x v="5"/>
    <x v="0"/>
    <m/>
    <x v="7"/>
    <x v="47"/>
  </r>
  <r>
    <s v="2024-02-08"/>
    <x v="1"/>
    <s v="Salary"/>
    <x v="2"/>
    <x v="1"/>
    <n v="61659"/>
    <x v="5"/>
    <x v="0"/>
    <m/>
    <x v="7"/>
    <x v="48"/>
  </r>
  <r>
    <s v="2024-02-09"/>
    <x v="1"/>
    <m/>
    <x v="2"/>
    <x v="2"/>
    <n v="141944"/>
    <x v="0"/>
    <x v="5"/>
    <n v="17.350000000000001"/>
    <x v="3"/>
    <x v="49"/>
  </r>
  <r>
    <s v="2024-02-10"/>
    <x v="1"/>
    <m/>
    <x v="2"/>
    <x v="2"/>
    <n v="43247"/>
    <x v="0"/>
    <x v="1"/>
    <n v="10.96"/>
    <x v="8"/>
    <x v="50"/>
  </r>
  <r>
    <s v="2024-02-10"/>
    <x v="1"/>
    <m/>
    <x v="2"/>
    <x v="2"/>
    <n v="23176"/>
    <x v="4"/>
    <x v="6"/>
    <n v="-1.55"/>
    <x v="8"/>
    <x v="51"/>
  </r>
  <r>
    <s v="2024-02-10"/>
    <x v="1"/>
    <m/>
    <x v="8"/>
    <x v="0"/>
    <n v="6748"/>
    <x v="0"/>
    <x v="0"/>
    <m/>
    <x v="2"/>
    <x v="52"/>
  </r>
  <r>
    <s v="2024-02-10"/>
    <x v="1"/>
    <m/>
    <x v="2"/>
    <x v="2"/>
    <n v="17656"/>
    <x v="1"/>
    <x v="2"/>
    <n v="-7.85"/>
    <x v="7"/>
    <x v="53"/>
  </r>
  <r>
    <s v="2024-02-11"/>
    <x v="1"/>
    <s v="Freelancing"/>
    <x v="2"/>
    <x v="1"/>
    <n v="102304"/>
    <x v="3"/>
    <x v="0"/>
    <m/>
    <x v="7"/>
    <x v="54"/>
  </r>
  <r>
    <s v="2024-02-11"/>
    <x v="1"/>
    <s v="Bonus"/>
    <x v="2"/>
    <x v="1"/>
    <n v="75751"/>
    <x v="0"/>
    <x v="0"/>
    <m/>
    <x v="9"/>
    <x v="55"/>
  </r>
  <r>
    <s v="2024-02-12"/>
    <x v="1"/>
    <m/>
    <x v="1"/>
    <x v="0"/>
    <n v="36805"/>
    <x v="1"/>
    <x v="0"/>
    <m/>
    <x v="2"/>
    <x v="56"/>
  </r>
  <r>
    <s v="2024-02-13"/>
    <x v="1"/>
    <s v="Dividends"/>
    <x v="2"/>
    <x v="1"/>
    <n v="35717"/>
    <x v="5"/>
    <x v="0"/>
    <m/>
    <x v="3"/>
    <x v="57"/>
  </r>
  <r>
    <s v="2024-02-14"/>
    <x v="1"/>
    <m/>
    <x v="6"/>
    <x v="0"/>
    <n v="32807"/>
    <x v="0"/>
    <x v="0"/>
    <m/>
    <x v="7"/>
    <x v="58"/>
  </r>
  <r>
    <s v="2024-02-14"/>
    <x v="1"/>
    <m/>
    <x v="8"/>
    <x v="0"/>
    <n v="9765"/>
    <x v="4"/>
    <x v="0"/>
    <m/>
    <x v="5"/>
    <x v="59"/>
  </r>
  <r>
    <s v="2024-02-15"/>
    <x v="1"/>
    <m/>
    <x v="0"/>
    <x v="0"/>
    <n v="11165"/>
    <x v="3"/>
    <x v="0"/>
    <m/>
    <x v="8"/>
    <x v="60"/>
  </r>
  <r>
    <s v="2024-02-15"/>
    <x v="1"/>
    <m/>
    <x v="2"/>
    <x v="2"/>
    <n v="18026"/>
    <x v="5"/>
    <x v="3"/>
    <n v="-13.02"/>
    <x v="2"/>
    <x v="61"/>
  </r>
  <r>
    <s v="2024-02-15"/>
    <x v="1"/>
    <m/>
    <x v="2"/>
    <x v="2"/>
    <n v="55346"/>
    <x v="1"/>
    <x v="2"/>
    <n v="14.47"/>
    <x v="8"/>
    <x v="62"/>
  </r>
  <r>
    <s v="2024-02-16"/>
    <x v="1"/>
    <m/>
    <x v="5"/>
    <x v="0"/>
    <n v="853"/>
    <x v="1"/>
    <x v="0"/>
    <m/>
    <x v="8"/>
    <x v="63"/>
  </r>
  <r>
    <s v="2024-02-16"/>
    <x v="1"/>
    <m/>
    <x v="2"/>
    <x v="2"/>
    <n v="86581"/>
    <x v="1"/>
    <x v="5"/>
    <n v="14.99"/>
    <x v="3"/>
    <x v="64"/>
  </r>
  <r>
    <s v="2024-02-16"/>
    <x v="1"/>
    <m/>
    <x v="2"/>
    <x v="2"/>
    <n v="23408"/>
    <x v="4"/>
    <x v="4"/>
    <n v="20.34"/>
    <x v="2"/>
    <x v="65"/>
  </r>
  <r>
    <s v="2024-02-16"/>
    <x v="1"/>
    <m/>
    <x v="6"/>
    <x v="0"/>
    <n v="31442"/>
    <x v="2"/>
    <x v="0"/>
    <m/>
    <x v="8"/>
    <x v="66"/>
  </r>
  <r>
    <s v="2024-02-17"/>
    <x v="1"/>
    <s v="Bonus"/>
    <x v="2"/>
    <x v="1"/>
    <n v="175241"/>
    <x v="0"/>
    <x v="0"/>
    <m/>
    <x v="3"/>
    <x v="67"/>
  </r>
  <r>
    <s v="2024-02-17"/>
    <x v="1"/>
    <s v="Interest Income"/>
    <x v="2"/>
    <x v="1"/>
    <n v="135476"/>
    <x v="0"/>
    <x v="0"/>
    <m/>
    <x v="8"/>
    <x v="68"/>
  </r>
  <r>
    <s v="2024-02-17"/>
    <x v="1"/>
    <m/>
    <x v="2"/>
    <x v="2"/>
    <n v="32480"/>
    <x v="5"/>
    <x v="3"/>
    <n v="22.24"/>
    <x v="4"/>
    <x v="69"/>
  </r>
  <r>
    <s v="2024-02-18"/>
    <x v="1"/>
    <m/>
    <x v="4"/>
    <x v="0"/>
    <n v="1283"/>
    <x v="1"/>
    <x v="0"/>
    <m/>
    <x v="9"/>
    <x v="70"/>
  </r>
  <r>
    <s v="2024-02-19"/>
    <x v="1"/>
    <s v="Bonus"/>
    <x v="2"/>
    <x v="1"/>
    <n v="171635"/>
    <x v="4"/>
    <x v="0"/>
    <m/>
    <x v="3"/>
    <x v="71"/>
  </r>
  <r>
    <s v="2024-02-19"/>
    <x v="1"/>
    <m/>
    <x v="0"/>
    <x v="0"/>
    <n v="19473"/>
    <x v="3"/>
    <x v="0"/>
    <m/>
    <x v="7"/>
    <x v="72"/>
  </r>
  <r>
    <s v="2024-02-20"/>
    <x v="1"/>
    <m/>
    <x v="5"/>
    <x v="0"/>
    <n v="896"/>
    <x v="3"/>
    <x v="0"/>
    <m/>
    <x v="7"/>
    <x v="73"/>
  </r>
  <r>
    <s v="2024-02-21"/>
    <x v="1"/>
    <m/>
    <x v="7"/>
    <x v="0"/>
    <n v="532"/>
    <x v="1"/>
    <x v="0"/>
    <m/>
    <x v="5"/>
    <x v="74"/>
  </r>
  <r>
    <s v="2024-02-21"/>
    <x v="1"/>
    <m/>
    <x v="4"/>
    <x v="0"/>
    <n v="1231"/>
    <x v="2"/>
    <x v="0"/>
    <m/>
    <x v="8"/>
    <x v="75"/>
  </r>
  <r>
    <s v="2024-02-22"/>
    <x v="1"/>
    <s v="Bonus"/>
    <x v="2"/>
    <x v="1"/>
    <n v="87530"/>
    <x v="0"/>
    <x v="0"/>
    <m/>
    <x v="6"/>
    <x v="76"/>
  </r>
  <r>
    <s v="2024-02-22"/>
    <x v="1"/>
    <m/>
    <x v="2"/>
    <x v="2"/>
    <n v="91906"/>
    <x v="2"/>
    <x v="5"/>
    <n v="0.12"/>
    <x v="7"/>
    <x v="77"/>
  </r>
  <r>
    <s v="2024-02-23"/>
    <x v="1"/>
    <s v="Business"/>
    <x v="2"/>
    <x v="1"/>
    <n v="138837"/>
    <x v="0"/>
    <x v="0"/>
    <m/>
    <x v="5"/>
    <x v="78"/>
  </r>
  <r>
    <s v="2024-02-24"/>
    <x v="1"/>
    <m/>
    <x v="2"/>
    <x v="2"/>
    <n v="162125"/>
    <x v="0"/>
    <x v="5"/>
    <n v="25.6"/>
    <x v="3"/>
    <x v="79"/>
  </r>
  <r>
    <s v="2024-02-25"/>
    <x v="1"/>
    <m/>
    <x v="2"/>
    <x v="2"/>
    <n v="39009"/>
    <x v="5"/>
    <x v="2"/>
    <n v="27.67"/>
    <x v="2"/>
    <x v="80"/>
  </r>
  <r>
    <s v="2024-02-25"/>
    <x v="1"/>
    <s v="Freelancing"/>
    <x v="2"/>
    <x v="1"/>
    <n v="147531"/>
    <x v="3"/>
    <x v="0"/>
    <m/>
    <x v="3"/>
    <x v="81"/>
  </r>
  <r>
    <s v="2024-02-25"/>
    <x v="1"/>
    <m/>
    <x v="4"/>
    <x v="0"/>
    <n v="7895"/>
    <x v="4"/>
    <x v="0"/>
    <m/>
    <x v="3"/>
    <x v="82"/>
  </r>
  <r>
    <s v="2024-02-27"/>
    <x v="1"/>
    <s v="Business"/>
    <x v="2"/>
    <x v="1"/>
    <n v="127901"/>
    <x v="1"/>
    <x v="0"/>
    <m/>
    <x v="1"/>
    <x v="83"/>
  </r>
  <r>
    <s v="2024-02-27"/>
    <x v="1"/>
    <m/>
    <x v="4"/>
    <x v="0"/>
    <n v="1375"/>
    <x v="5"/>
    <x v="0"/>
    <m/>
    <x v="7"/>
    <x v="84"/>
  </r>
  <r>
    <s v="2024-02-27"/>
    <x v="1"/>
    <s v="Bonus"/>
    <x v="2"/>
    <x v="1"/>
    <n v="33713"/>
    <x v="2"/>
    <x v="0"/>
    <m/>
    <x v="3"/>
    <x v="85"/>
  </r>
  <r>
    <s v="2024-03-03"/>
    <x v="2"/>
    <m/>
    <x v="8"/>
    <x v="0"/>
    <n v="2290"/>
    <x v="1"/>
    <x v="0"/>
    <m/>
    <x v="1"/>
    <x v="86"/>
  </r>
  <r>
    <s v="2024-03-03"/>
    <x v="2"/>
    <m/>
    <x v="3"/>
    <x v="0"/>
    <n v="4502"/>
    <x v="3"/>
    <x v="0"/>
    <m/>
    <x v="8"/>
    <x v="87"/>
  </r>
  <r>
    <s v="2024-03-04"/>
    <x v="2"/>
    <s v="Bonus"/>
    <x v="2"/>
    <x v="1"/>
    <n v="117099"/>
    <x v="2"/>
    <x v="0"/>
    <m/>
    <x v="6"/>
    <x v="88"/>
  </r>
  <r>
    <s v="2024-03-04"/>
    <x v="2"/>
    <m/>
    <x v="2"/>
    <x v="2"/>
    <n v="62994"/>
    <x v="1"/>
    <x v="5"/>
    <n v="9.6300000000000008"/>
    <x v="5"/>
    <x v="89"/>
  </r>
  <r>
    <s v="2024-03-04"/>
    <x v="2"/>
    <m/>
    <x v="0"/>
    <x v="0"/>
    <n v="1265"/>
    <x v="2"/>
    <x v="0"/>
    <m/>
    <x v="9"/>
    <x v="90"/>
  </r>
  <r>
    <s v="2024-03-05"/>
    <x v="2"/>
    <m/>
    <x v="0"/>
    <x v="0"/>
    <n v="7437"/>
    <x v="3"/>
    <x v="0"/>
    <m/>
    <x v="1"/>
    <x v="91"/>
  </r>
  <r>
    <s v="2024-03-06"/>
    <x v="2"/>
    <m/>
    <x v="8"/>
    <x v="0"/>
    <n v="9390"/>
    <x v="3"/>
    <x v="0"/>
    <m/>
    <x v="2"/>
    <x v="92"/>
  </r>
  <r>
    <s v="2024-03-06"/>
    <x v="2"/>
    <m/>
    <x v="8"/>
    <x v="0"/>
    <n v="8908"/>
    <x v="2"/>
    <x v="0"/>
    <m/>
    <x v="8"/>
    <x v="93"/>
  </r>
  <r>
    <s v="2024-03-07"/>
    <x v="2"/>
    <s v="Dividends"/>
    <x v="2"/>
    <x v="1"/>
    <n v="131242"/>
    <x v="1"/>
    <x v="0"/>
    <m/>
    <x v="8"/>
    <x v="94"/>
  </r>
  <r>
    <s v="2024-03-08"/>
    <x v="2"/>
    <s v="Bonus"/>
    <x v="2"/>
    <x v="1"/>
    <n v="176758"/>
    <x v="3"/>
    <x v="0"/>
    <m/>
    <x v="4"/>
    <x v="95"/>
  </r>
  <r>
    <s v="2024-03-09"/>
    <x v="2"/>
    <s v="Salary"/>
    <x v="2"/>
    <x v="1"/>
    <n v="39439"/>
    <x v="3"/>
    <x v="0"/>
    <m/>
    <x v="8"/>
    <x v="96"/>
  </r>
  <r>
    <s v="2024-03-09"/>
    <x v="2"/>
    <s v="Rental Income"/>
    <x v="2"/>
    <x v="1"/>
    <n v="119164"/>
    <x v="2"/>
    <x v="0"/>
    <m/>
    <x v="4"/>
    <x v="97"/>
  </r>
  <r>
    <s v="2024-03-10"/>
    <x v="2"/>
    <m/>
    <x v="7"/>
    <x v="0"/>
    <n v="1045"/>
    <x v="2"/>
    <x v="0"/>
    <m/>
    <x v="3"/>
    <x v="98"/>
  </r>
  <r>
    <s v="2024-03-11"/>
    <x v="2"/>
    <m/>
    <x v="8"/>
    <x v="0"/>
    <n v="707"/>
    <x v="3"/>
    <x v="0"/>
    <m/>
    <x v="3"/>
    <x v="99"/>
  </r>
  <r>
    <s v="2024-03-12"/>
    <x v="2"/>
    <s v="Dividends"/>
    <x v="2"/>
    <x v="1"/>
    <n v="23036"/>
    <x v="0"/>
    <x v="0"/>
    <m/>
    <x v="7"/>
    <x v="100"/>
  </r>
  <r>
    <s v="2024-03-13"/>
    <x v="2"/>
    <m/>
    <x v="3"/>
    <x v="0"/>
    <n v="8975"/>
    <x v="3"/>
    <x v="0"/>
    <m/>
    <x v="2"/>
    <x v="101"/>
  </r>
  <r>
    <s v="2024-03-13"/>
    <x v="2"/>
    <s v="Freelancing"/>
    <x v="2"/>
    <x v="1"/>
    <n v="143819"/>
    <x v="0"/>
    <x v="0"/>
    <m/>
    <x v="3"/>
    <x v="102"/>
  </r>
  <r>
    <s v="2024-03-14"/>
    <x v="2"/>
    <s v="Business"/>
    <x v="2"/>
    <x v="1"/>
    <n v="74825"/>
    <x v="5"/>
    <x v="0"/>
    <m/>
    <x v="4"/>
    <x v="103"/>
  </r>
  <r>
    <s v="2024-03-15"/>
    <x v="2"/>
    <s v="Rental Income"/>
    <x v="2"/>
    <x v="1"/>
    <n v="162585"/>
    <x v="0"/>
    <x v="0"/>
    <m/>
    <x v="8"/>
    <x v="104"/>
  </r>
  <r>
    <s v="2024-03-16"/>
    <x v="2"/>
    <m/>
    <x v="1"/>
    <x v="0"/>
    <n v="6753"/>
    <x v="4"/>
    <x v="0"/>
    <m/>
    <x v="4"/>
    <x v="105"/>
  </r>
  <r>
    <s v="2024-03-17"/>
    <x v="2"/>
    <s v="Bonus"/>
    <x v="2"/>
    <x v="1"/>
    <n v="133096"/>
    <x v="4"/>
    <x v="0"/>
    <m/>
    <x v="0"/>
    <x v="106"/>
  </r>
  <r>
    <s v="2024-03-17"/>
    <x v="2"/>
    <m/>
    <x v="2"/>
    <x v="2"/>
    <n v="31566"/>
    <x v="1"/>
    <x v="2"/>
    <n v="-8.32"/>
    <x v="3"/>
    <x v="107"/>
  </r>
  <r>
    <s v="2024-03-18"/>
    <x v="2"/>
    <m/>
    <x v="4"/>
    <x v="0"/>
    <n v="8107"/>
    <x v="5"/>
    <x v="0"/>
    <m/>
    <x v="4"/>
    <x v="108"/>
  </r>
  <r>
    <s v="2024-03-19"/>
    <x v="2"/>
    <s v="Rental Income"/>
    <x v="2"/>
    <x v="1"/>
    <n v="78038"/>
    <x v="2"/>
    <x v="0"/>
    <m/>
    <x v="2"/>
    <x v="109"/>
  </r>
  <r>
    <s v="2024-03-19"/>
    <x v="2"/>
    <m/>
    <x v="5"/>
    <x v="0"/>
    <n v="1932"/>
    <x v="1"/>
    <x v="0"/>
    <m/>
    <x v="5"/>
    <x v="110"/>
  </r>
  <r>
    <s v="2024-03-20"/>
    <x v="2"/>
    <s v="Business"/>
    <x v="2"/>
    <x v="1"/>
    <n v="59010"/>
    <x v="4"/>
    <x v="0"/>
    <m/>
    <x v="8"/>
    <x v="111"/>
  </r>
  <r>
    <s v="2024-03-21"/>
    <x v="2"/>
    <m/>
    <x v="4"/>
    <x v="0"/>
    <n v="9237"/>
    <x v="5"/>
    <x v="0"/>
    <m/>
    <x v="4"/>
    <x v="112"/>
  </r>
  <r>
    <s v="2024-03-21"/>
    <x v="2"/>
    <m/>
    <x v="3"/>
    <x v="0"/>
    <n v="5591"/>
    <x v="2"/>
    <x v="0"/>
    <m/>
    <x v="4"/>
    <x v="113"/>
  </r>
  <r>
    <s v="2024-03-23"/>
    <x v="2"/>
    <m/>
    <x v="4"/>
    <x v="0"/>
    <n v="1376"/>
    <x v="1"/>
    <x v="0"/>
    <m/>
    <x v="9"/>
    <x v="114"/>
  </r>
  <r>
    <s v="2024-03-23"/>
    <x v="2"/>
    <m/>
    <x v="4"/>
    <x v="0"/>
    <n v="11007"/>
    <x v="5"/>
    <x v="0"/>
    <m/>
    <x v="8"/>
    <x v="115"/>
  </r>
  <r>
    <s v="2024-03-23"/>
    <x v="2"/>
    <m/>
    <x v="4"/>
    <x v="0"/>
    <n v="5434"/>
    <x v="4"/>
    <x v="0"/>
    <m/>
    <x v="6"/>
    <x v="116"/>
  </r>
  <r>
    <s v="2024-03-24"/>
    <x v="2"/>
    <m/>
    <x v="7"/>
    <x v="0"/>
    <n v="1583"/>
    <x v="1"/>
    <x v="0"/>
    <m/>
    <x v="8"/>
    <x v="117"/>
  </r>
  <r>
    <s v="2024-03-24"/>
    <x v="2"/>
    <m/>
    <x v="7"/>
    <x v="0"/>
    <n v="1455"/>
    <x v="0"/>
    <x v="0"/>
    <m/>
    <x v="4"/>
    <x v="118"/>
  </r>
  <r>
    <s v="2024-03-24"/>
    <x v="2"/>
    <s v="Dividends"/>
    <x v="2"/>
    <x v="1"/>
    <n v="166197"/>
    <x v="5"/>
    <x v="0"/>
    <m/>
    <x v="1"/>
    <x v="119"/>
  </r>
  <r>
    <s v="2024-03-24"/>
    <x v="2"/>
    <m/>
    <x v="8"/>
    <x v="0"/>
    <n v="1779"/>
    <x v="2"/>
    <x v="0"/>
    <m/>
    <x v="8"/>
    <x v="120"/>
  </r>
  <r>
    <s v="2024-03-25"/>
    <x v="2"/>
    <s v="Bonus"/>
    <x v="2"/>
    <x v="1"/>
    <n v="55442"/>
    <x v="4"/>
    <x v="0"/>
    <m/>
    <x v="2"/>
    <x v="121"/>
  </r>
  <r>
    <s v="2024-03-25"/>
    <x v="2"/>
    <m/>
    <x v="4"/>
    <x v="0"/>
    <n v="4846"/>
    <x v="0"/>
    <x v="0"/>
    <m/>
    <x v="9"/>
    <x v="122"/>
  </r>
  <r>
    <s v="2024-03-26"/>
    <x v="2"/>
    <m/>
    <x v="5"/>
    <x v="0"/>
    <n v="3880"/>
    <x v="2"/>
    <x v="0"/>
    <m/>
    <x v="5"/>
    <x v="123"/>
  </r>
  <r>
    <s v="2024-03-27"/>
    <x v="2"/>
    <m/>
    <x v="4"/>
    <x v="0"/>
    <n v="941"/>
    <x v="1"/>
    <x v="0"/>
    <m/>
    <x v="3"/>
    <x v="124"/>
  </r>
  <r>
    <s v="2024-03-28"/>
    <x v="2"/>
    <s v="Rental Income"/>
    <x v="2"/>
    <x v="1"/>
    <n v="138578"/>
    <x v="3"/>
    <x v="0"/>
    <m/>
    <x v="5"/>
    <x v="125"/>
  </r>
  <r>
    <s v="2024-03-29"/>
    <x v="2"/>
    <m/>
    <x v="6"/>
    <x v="0"/>
    <n v="20109"/>
    <x v="1"/>
    <x v="0"/>
    <m/>
    <x v="3"/>
    <x v="126"/>
  </r>
  <r>
    <s v="2024-03-29"/>
    <x v="2"/>
    <m/>
    <x v="7"/>
    <x v="0"/>
    <n v="1661"/>
    <x v="1"/>
    <x v="0"/>
    <m/>
    <x v="9"/>
    <x v="127"/>
  </r>
  <r>
    <s v="2024-03-31"/>
    <x v="2"/>
    <m/>
    <x v="8"/>
    <x v="0"/>
    <n v="2399"/>
    <x v="3"/>
    <x v="0"/>
    <m/>
    <x v="7"/>
    <x v="128"/>
  </r>
  <r>
    <s v="2024-03-31"/>
    <x v="2"/>
    <m/>
    <x v="2"/>
    <x v="2"/>
    <n v="46426"/>
    <x v="3"/>
    <x v="4"/>
    <n v="-9.9"/>
    <x v="6"/>
    <x v="129"/>
  </r>
  <r>
    <s v="2024-04-01"/>
    <x v="3"/>
    <m/>
    <x v="3"/>
    <x v="0"/>
    <n v="18035"/>
    <x v="4"/>
    <x v="0"/>
    <m/>
    <x v="6"/>
    <x v="130"/>
  </r>
  <r>
    <s v="2024-04-01"/>
    <x v="3"/>
    <s v="Bonus"/>
    <x v="2"/>
    <x v="1"/>
    <n v="126028"/>
    <x v="5"/>
    <x v="0"/>
    <m/>
    <x v="4"/>
    <x v="131"/>
  </r>
  <r>
    <s v="2024-04-02"/>
    <x v="3"/>
    <m/>
    <x v="6"/>
    <x v="0"/>
    <n v="19781"/>
    <x v="2"/>
    <x v="0"/>
    <m/>
    <x v="7"/>
    <x v="132"/>
  </r>
  <r>
    <s v="2024-04-03"/>
    <x v="3"/>
    <m/>
    <x v="8"/>
    <x v="0"/>
    <n v="6992"/>
    <x v="2"/>
    <x v="0"/>
    <m/>
    <x v="6"/>
    <x v="133"/>
  </r>
  <r>
    <s v="2024-04-03"/>
    <x v="3"/>
    <m/>
    <x v="0"/>
    <x v="0"/>
    <n v="6358"/>
    <x v="5"/>
    <x v="0"/>
    <m/>
    <x v="2"/>
    <x v="134"/>
  </r>
  <r>
    <s v="2024-04-03"/>
    <x v="3"/>
    <m/>
    <x v="5"/>
    <x v="0"/>
    <n v="4364"/>
    <x v="2"/>
    <x v="0"/>
    <m/>
    <x v="1"/>
    <x v="135"/>
  </r>
  <r>
    <s v="2024-04-03"/>
    <x v="3"/>
    <m/>
    <x v="2"/>
    <x v="2"/>
    <n v="62065"/>
    <x v="5"/>
    <x v="4"/>
    <n v="-11.21"/>
    <x v="1"/>
    <x v="136"/>
  </r>
  <r>
    <s v="2024-04-05"/>
    <x v="3"/>
    <s v="Rental Income"/>
    <x v="2"/>
    <x v="1"/>
    <n v="172815"/>
    <x v="0"/>
    <x v="0"/>
    <m/>
    <x v="7"/>
    <x v="137"/>
  </r>
  <r>
    <s v="2024-04-05"/>
    <x v="3"/>
    <m/>
    <x v="0"/>
    <x v="0"/>
    <n v="16962"/>
    <x v="5"/>
    <x v="0"/>
    <m/>
    <x v="6"/>
    <x v="138"/>
  </r>
  <r>
    <s v="2024-04-05"/>
    <x v="3"/>
    <m/>
    <x v="0"/>
    <x v="0"/>
    <n v="18410"/>
    <x v="3"/>
    <x v="0"/>
    <m/>
    <x v="6"/>
    <x v="139"/>
  </r>
  <r>
    <s v="2024-04-06"/>
    <x v="3"/>
    <s v="Bonus"/>
    <x v="2"/>
    <x v="1"/>
    <n v="107876"/>
    <x v="3"/>
    <x v="0"/>
    <m/>
    <x v="2"/>
    <x v="140"/>
  </r>
  <r>
    <s v="2024-04-07"/>
    <x v="3"/>
    <m/>
    <x v="2"/>
    <x v="2"/>
    <n v="2633"/>
    <x v="4"/>
    <x v="3"/>
    <n v="21.64"/>
    <x v="5"/>
    <x v="141"/>
  </r>
  <r>
    <s v="2024-04-10"/>
    <x v="3"/>
    <m/>
    <x v="5"/>
    <x v="0"/>
    <n v="4108"/>
    <x v="1"/>
    <x v="0"/>
    <m/>
    <x v="8"/>
    <x v="142"/>
  </r>
  <r>
    <s v="2024-04-12"/>
    <x v="3"/>
    <s v="Salary"/>
    <x v="2"/>
    <x v="1"/>
    <n v="169553"/>
    <x v="4"/>
    <x v="0"/>
    <m/>
    <x v="2"/>
    <x v="143"/>
  </r>
  <r>
    <s v="2024-04-12"/>
    <x v="3"/>
    <s v="Bonus"/>
    <x v="2"/>
    <x v="1"/>
    <n v="103719"/>
    <x v="2"/>
    <x v="0"/>
    <m/>
    <x v="0"/>
    <x v="144"/>
  </r>
  <r>
    <s v="2024-04-12"/>
    <x v="3"/>
    <m/>
    <x v="3"/>
    <x v="0"/>
    <n v="18697"/>
    <x v="3"/>
    <x v="0"/>
    <m/>
    <x v="2"/>
    <x v="145"/>
  </r>
  <r>
    <s v="2024-04-13"/>
    <x v="3"/>
    <m/>
    <x v="8"/>
    <x v="0"/>
    <n v="2735"/>
    <x v="1"/>
    <x v="0"/>
    <m/>
    <x v="2"/>
    <x v="146"/>
  </r>
  <r>
    <s v="2024-04-14"/>
    <x v="3"/>
    <m/>
    <x v="5"/>
    <x v="0"/>
    <n v="5805"/>
    <x v="2"/>
    <x v="0"/>
    <m/>
    <x v="8"/>
    <x v="147"/>
  </r>
  <r>
    <s v="2024-04-14"/>
    <x v="3"/>
    <m/>
    <x v="3"/>
    <x v="0"/>
    <n v="10255"/>
    <x v="0"/>
    <x v="0"/>
    <m/>
    <x v="3"/>
    <x v="148"/>
  </r>
  <r>
    <s v="2024-04-15"/>
    <x v="3"/>
    <m/>
    <x v="2"/>
    <x v="2"/>
    <n v="84537"/>
    <x v="3"/>
    <x v="5"/>
    <n v="5.18"/>
    <x v="4"/>
    <x v="149"/>
  </r>
  <r>
    <s v="2024-04-15"/>
    <x v="3"/>
    <s v="Dividends"/>
    <x v="2"/>
    <x v="1"/>
    <n v="92500"/>
    <x v="5"/>
    <x v="0"/>
    <m/>
    <x v="3"/>
    <x v="150"/>
  </r>
  <r>
    <s v="2024-04-15"/>
    <x v="3"/>
    <m/>
    <x v="5"/>
    <x v="0"/>
    <n v="1323"/>
    <x v="3"/>
    <x v="0"/>
    <m/>
    <x v="5"/>
    <x v="151"/>
  </r>
  <r>
    <s v="2024-04-15"/>
    <x v="3"/>
    <m/>
    <x v="7"/>
    <x v="0"/>
    <n v="2432"/>
    <x v="2"/>
    <x v="0"/>
    <m/>
    <x v="6"/>
    <x v="152"/>
  </r>
  <r>
    <s v="2024-04-16"/>
    <x v="3"/>
    <s v="Freelancing"/>
    <x v="2"/>
    <x v="1"/>
    <n v="125052"/>
    <x v="3"/>
    <x v="0"/>
    <m/>
    <x v="6"/>
    <x v="153"/>
  </r>
  <r>
    <s v="2024-04-17"/>
    <x v="3"/>
    <s v="Salary"/>
    <x v="2"/>
    <x v="1"/>
    <n v="45426"/>
    <x v="4"/>
    <x v="0"/>
    <m/>
    <x v="5"/>
    <x v="154"/>
  </r>
  <r>
    <s v="2024-04-18"/>
    <x v="3"/>
    <m/>
    <x v="2"/>
    <x v="2"/>
    <n v="21937"/>
    <x v="1"/>
    <x v="6"/>
    <n v="6.83"/>
    <x v="5"/>
    <x v="155"/>
  </r>
  <r>
    <s v="2024-04-18"/>
    <x v="3"/>
    <m/>
    <x v="8"/>
    <x v="0"/>
    <n v="10913"/>
    <x v="3"/>
    <x v="0"/>
    <m/>
    <x v="5"/>
    <x v="156"/>
  </r>
  <r>
    <s v="2024-04-19"/>
    <x v="3"/>
    <m/>
    <x v="2"/>
    <x v="2"/>
    <n v="10324"/>
    <x v="4"/>
    <x v="6"/>
    <n v="4.54"/>
    <x v="7"/>
    <x v="157"/>
  </r>
  <r>
    <s v="2024-04-19"/>
    <x v="3"/>
    <s v="Freelancing"/>
    <x v="2"/>
    <x v="1"/>
    <n v="64163"/>
    <x v="0"/>
    <x v="0"/>
    <m/>
    <x v="2"/>
    <x v="158"/>
  </r>
  <r>
    <s v="2024-04-20"/>
    <x v="3"/>
    <m/>
    <x v="5"/>
    <x v="0"/>
    <n v="4916"/>
    <x v="4"/>
    <x v="0"/>
    <m/>
    <x v="2"/>
    <x v="159"/>
  </r>
  <r>
    <s v="2024-04-20"/>
    <x v="3"/>
    <m/>
    <x v="1"/>
    <x v="0"/>
    <n v="2640"/>
    <x v="2"/>
    <x v="0"/>
    <m/>
    <x v="7"/>
    <x v="160"/>
  </r>
  <r>
    <s v="2024-04-21"/>
    <x v="3"/>
    <m/>
    <x v="8"/>
    <x v="0"/>
    <n v="5639"/>
    <x v="3"/>
    <x v="0"/>
    <m/>
    <x v="0"/>
    <x v="161"/>
  </r>
  <r>
    <s v="2024-04-21"/>
    <x v="3"/>
    <s v="Rental Income"/>
    <x v="2"/>
    <x v="1"/>
    <n v="147214"/>
    <x v="4"/>
    <x v="0"/>
    <m/>
    <x v="2"/>
    <x v="162"/>
  </r>
  <r>
    <s v="2024-04-23"/>
    <x v="3"/>
    <m/>
    <x v="1"/>
    <x v="0"/>
    <n v="18834"/>
    <x v="4"/>
    <x v="0"/>
    <m/>
    <x v="0"/>
    <x v="163"/>
  </r>
  <r>
    <s v="2024-04-23"/>
    <x v="3"/>
    <s v="Dividends"/>
    <x v="2"/>
    <x v="1"/>
    <n v="32479"/>
    <x v="0"/>
    <x v="0"/>
    <m/>
    <x v="5"/>
    <x v="164"/>
  </r>
  <r>
    <s v="2024-04-25"/>
    <x v="3"/>
    <s v="Dividends"/>
    <x v="2"/>
    <x v="1"/>
    <n v="30373"/>
    <x v="1"/>
    <x v="0"/>
    <m/>
    <x v="8"/>
    <x v="165"/>
  </r>
  <r>
    <s v="2024-04-25"/>
    <x v="3"/>
    <m/>
    <x v="3"/>
    <x v="0"/>
    <n v="20849"/>
    <x v="1"/>
    <x v="0"/>
    <m/>
    <x v="9"/>
    <x v="166"/>
  </r>
  <r>
    <s v="2024-04-26"/>
    <x v="3"/>
    <m/>
    <x v="6"/>
    <x v="0"/>
    <n v="26562"/>
    <x v="4"/>
    <x v="0"/>
    <m/>
    <x v="0"/>
    <x v="167"/>
  </r>
  <r>
    <s v="2024-04-26"/>
    <x v="3"/>
    <m/>
    <x v="1"/>
    <x v="0"/>
    <n v="41459"/>
    <x v="1"/>
    <x v="0"/>
    <m/>
    <x v="9"/>
    <x v="168"/>
  </r>
  <r>
    <s v="2024-04-26"/>
    <x v="3"/>
    <m/>
    <x v="1"/>
    <x v="0"/>
    <n v="32393"/>
    <x v="1"/>
    <x v="0"/>
    <m/>
    <x v="0"/>
    <x v="169"/>
  </r>
  <r>
    <s v="2024-04-29"/>
    <x v="3"/>
    <m/>
    <x v="2"/>
    <x v="2"/>
    <n v="18626"/>
    <x v="2"/>
    <x v="6"/>
    <n v="19.97"/>
    <x v="9"/>
    <x v="170"/>
  </r>
  <r>
    <s v="2024-04-29"/>
    <x v="3"/>
    <s v="Bonus"/>
    <x v="2"/>
    <x v="1"/>
    <n v="72771"/>
    <x v="4"/>
    <x v="0"/>
    <m/>
    <x v="1"/>
    <x v="171"/>
  </r>
  <r>
    <s v="2024-04-30"/>
    <x v="3"/>
    <s v="Business"/>
    <x v="2"/>
    <x v="1"/>
    <n v="131987"/>
    <x v="1"/>
    <x v="0"/>
    <m/>
    <x v="0"/>
    <x v="172"/>
  </r>
  <r>
    <s v="2024-04-30"/>
    <x v="3"/>
    <s v="Interest Income"/>
    <x v="2"/>
    <x v="1"/>
    <n v="42856"/>
    <x v="3"/>
    <x v="0"/>
    <m/>
    <x v="1"/>
    <x v="173"/>
  </r>
  <r>
    <s v="2024-05-01"/>
    <x v="4"/>
    <s v="Salary"/>
    <x v="2"/>
    <x v="1"/>
    <n v="118259"/>
    <x v="5"/>
    <x v="0"/>
    <m/>
    <x v="4"/>
    <x v="174"/>
  </r>
  <r>
    <s v="2024-05-01"/>
    <x v="4"/>
    <s v="Interest Income"/>
    <x v="2"/>
    <x v="1"/>
    <n v="53147"/>
    <x v="4"/>
    <x v="0"/>
    <m/>
    <x v="6"/>
    <x v="175"/>
  </r>
  <r>
    <s v="2024-05-02"/>
    <x v="4"/>
    <s v="Freelancing"/>
    <x v="2"/>
    <x v="1"/>
    <n v="17975"/>
    <x v="1"/>
    <x v="0"/>
    <m/>
    <x v="3"/>
    <x v="176"/>
  </r>
  <r>
    <s v="2024-05-03"/>
    <x v="4"/>
    <s v="Salary"/>
    <x v="2"/>
    <x v="1"/>
    <n v="103627"/>
    <x v="0"/>
    <x v="0"/>
    <m/>
    <x v="0"/>
    <x v="177"/>
  </r>
  <r>
    <s v="2024-05-04"/>
    <x v="4"/>
    <s v="Dividends"/>
    <x v="2"/>
    <x v="1"/>
    <n v="174612"/>
    <x v="1"/>
    <x v="0"/>
    <m/>
    <x v="5"/>
    <x v="178"/>
  </r>
  <r>
    <s v="2024-05-04"/>
    <x v="4"/>
    <m/>
    <x v="3"/>
    <x v="0"/>
    <n v="19402"/>
    <x v="2"/>
    <x v="0"/>
    <m/>
    <x v="7"/>
    <x v="179"/>
  </r>
  <r>
    <s v="2024-05-04"/>
    <x v="4"/>
    <m/>
    <x v="2"/>
    <x v="2"/>
    <n v="33631"/>
    <x v="3"/>
    <x v="1"/>
    <n v="1.55"/>
    <x v="1"/>
    <x v="180"/>
  </r>
  <r>
    <s v="2024-05-06"/>
    <x v="4"/>
    <m/>
    <x v="5"/>
    <x v="0"/>
    <n v="4988"/>
    <x v="3"/>
    <x v="0"/>
    <m/>
    <x v="4"/>
    <x v="181"/>
  </r>
  <r>
    <s v="2024-05-07"/>
    <x v="4"/>
    <m/>
    <x v="0"/>
    <x v="0"/>
    <n v="13407"/>
    <x v="4"/>
    <x v="0"/>
    <m/>
    <x v="3"/>
    <x v="182"/>
  </r>
  <r>
    <s v="2024-05-07"/>
    <x v="4"/>
    <m/>
    <x v="5"/>
    <x v="0"/>
    <n v="1548"/>
    <x v="1"/>
    <x v="0"/>
    <m/>
    <x v="4"/>
    <x v="183"/>
  </r>
  <r>
    <s v="2024-05-08"/>
    <x v="4"/>
    <s v="Bonus"/>
    <x v="2"/>
    <x v="1"/>
    <n v="159127"/>
    <x v="1"/>
    <x v="0"/>
    <m/>
    <x v="9"/>
    <x v="184"/>
  </r>
  <r>
    <s v="2024-05-10"/>
    <x v="4"/>
    <m/>
    <x v="4"/>
    <x v="0"/>
    <n v="2507"/>
    <x v="4"/>
    <x v="0"/>
    <m/>
    <x v="7"/>
    <x v="185"/>
  </r>
  <r>
    <s v="2024-05-11"/>
    <x v="4"/>
    <m/>
    <x v="4"/>
    <x v="0"/>
    <n v="11436"/>
    <x v="5"/>
    <x v="0"/>
    <m/>
    <x v="8"/>
    <x v="186"/>
  </r>
  <r>
    <s v="2024-05-12"/>
    <x v="4"/>
    <m/>
    <x v="6"/>
    <x v="0"/>
    <n v="28288"/>
    <x v="2"/>
    <x v="0"/>
    <m/>
    <x v="2"/>
    <x v="187"/>
  </r>
  <r>
    <s v="2024-05-15"/>
    <x v="4"/>
    <m/>
    <x v="1"/>
    <x v="0"/>
    <n v="37956"/>
    <x v="0"/>
    <x v="0"/>
    <m/>
    <x v="7"/>
    <x v="188"/>
  </r>
  <r>
    <s v="2024-05-17"/>
    <x v="4"/>
    <m/>
    <x v="5"/>
    <x v="0"/>
    <n v="1865"/>
    <x v="5"/>
    <x v="0"/>
    <m/>
    <x v="8"/>
    <x v="189"/>
  </r>
  <r>
    <s v="2024-05-17"/>
    <x v="4"/>
    <m/>
    <x v="8"/>
    <x v="0"/>
    <n v="8363"/>
    <x v="3"/>
    <x v="0"/>
    <m/>
    <x v="3"/>
    <x v="190"/>
  </r>
  <r>
    <s v="2024-05-18"/>
    <x v="4"/>
    <m/>
    <x v="2"/>
    <x v="2"/>
    <n v="12770"/>
    <x v="4"/>
    <x v="4"/>
    <n v="27.68"/>
    <x v="5"/>
    <x v="191"/>
  </r>
  <r>
    <s v="2024-05-18"/>
    <x v="4"/>
    <m/>
    <x v="8"/>
    <x v="0"/>
    <n v="7887"/>
    <x v="0"/>
    <x v="0"/>
    <m/>
    <x v="5"/>
    <x v="192"/>
  </r>
  <r>
    <s v="2024-05-19"/>
    <x v="4"/>
    <m/>
    <x v="2"/>
    <x v="2"/>
    <n v="14596"/>
    <x v="2"/>
    <x v="6"/>
    <n v="-0.39"/>
    <x v="9"/>
    <x v="193"/>
  </r>
  <r>
    <s v="2024-05-21"/>
    <x v="4"/>
    <m/>
    <x v="2"/>
    <x v="2"/>
    <n v="16608"/>
    <x v="3"/>
    <x v="1"/>
    <n v="17.16"/>
    <x v="5"/>
    <x v="194"/>
  </r>
  <r>
    <s v="2024-05-22"/>
    <x v="4"/>
    <m/>
    <x v="6"/>
    <x v="0"/>
    <n v="35651"/>
    <x v="0"/>
    <x v="0"/>
    <m/>
    <x v="6"/>
    <x v="195"/>
  </r>
  <r>
    <s v="2024-05-22"/>
    <x v="4"/>
    <m/>
    <x v="3"/>
    <x v="0"/>
    <n v="8779"/>
    <x v="4"/>
    <x v="0"/>
    <m/>
    <x v="5"/>
    <x v="196"/>
  </r>
  <r>
    <s v="2024-05-23"/>
    <x v="4"/>
    <s v="Salary"/>
    <x v="2"/>
    <x v="1"/>
    <n v="73271"/>
    <x v="1"/>
    <x v="0"/>
    <m/>
    <x v="1"/>
    <x v="197"/>
  </r>
  <r>
    <s v="2024-05-24"/>
    <x v="4"/>
    <s v="Salary"/>
    <x v="2"/>
    <x v="1"/>
    <n v="165134"/>
    <x v="2"/>
    <x v="0"/>
    <m/>
    <x v="2"/>
    <x v="198"/>
  </r>
  <r>
    <s v="2024-05-25"/>
    <x v="4"/>
    <m/>
    <x v="6"/>
    <x v="0"/>
    <n v="10877"/>
    <x v="1"/>
    <x v="0"/>
    <m/>
    <x v="7"/>
    <x v="199"/>
  </r>
  <r>
    <s v="2024-05-26"/>
    <x v="4"/>
    <s v="Freelancing"/>
    <x v="2"/>
    <x v="1"/>
    <n v="162159"/>
    <x v="2"/>
    <x v="0"/>
    <m/>
    <x v="9"/>
    <x v="200"/>
  </r>
  <r>
    <s v="2024-05-27"/>
    <x v="4"/>
    <m/>
    <x v="0"/>
    <x v="0"/>
    <n v="1570"/>
    <x v="3"/>
    <x v="0"/>
    <m/>
    <x v="4"/>
    <x v="201"/>
  </r>
  <r>
    <s v="2024-05-29"/>
    <x v="4"/>
    <s v="Business"/>
    <x v="2"/>
    <x v="1"/>
    <n v="138851"/>
    <x v="4"/>
    <x v="0"/>
    <m/>
    <x v="5"/>
    <x v="202"/>
  </r>
  <r>
    <s v="2024-05-29"/>
    <x v="4"/>
    <m/>
    <x v="2"/>
    <x v="2"/>
    <n v="39684"/>
    <x v="2"/>
    <x v="1"/>
    <n v="-6.23"/>
    <x v="6"/>
    <x v="203"/>
  </r>
  <r>
    <s v="2024-05-31"/>
    <x v="4"/>
    <m/>
    <x v="6"/>
    <x v="0"/>
    <n v="14922"/>
    <x v="2"/>
    <x v="0"/>
    <m/>
    <x v="8"/>
    <x v="204"/>
  </r>
  <r>
    <s v="2024-06-01"/>
    <x v="5"/>
    <m/>
    <x v="1"/>
    <x v="0"/>
    <n v="23618"/>
    <x v="5"/>
    <x v="0"/>
    <m/>
    <x v="7"/>
    <x v="205"/>
  </r>
  <r>
    <s v="2024-06-01"/>
    <x v="5"/>
    <s v="Rental Income"/>
    <x v="2"/>
    <x v="1"/>
    <n v="176736"/>
    <x v="1"/>
    <x v="0"/>
    <m/>
    <x v="9"/>
    <x v="206"/>
  </r>
  <r>
    <s v="2024-06-02"/>
    <x v="5"/>
    <m/>
    <x v="4"/>
    <x v="0"/>
    <n v="6031"/>
    <x v="5"/>
    <x v="0"/>
    <m/>
    <x v="2"/>
    <x v="207"/>
  </r>
  <r>
    <s v="2024-06-02"/>
    <x v="5"/>
    <s v="Interest Income"/>
    <x v="2"/>
    <x v="1"/>
    <n v="24270"/>
    <x v="2"/>
    <x v="0"/>
    <m/>
    <x v="2"/>
    <x v="208"/>
  </r>
  <r>
    <s v="2024-06-02"/>
    <x v="5"/>
    <m/>
    <x v="4"/>
    <x v="0"/>
    <n v="8096"/>
    <x v="2"/>
    <x v="0"/>
    <m/>
    <x v="0"/>
    <x v="209"/>
  </r>
  <r>
    <s v="2024-06-03"/>
    <x v="5"/>
    <s v="Dividends"/>
    <x v="2"/>
    <x v="1"/>
    <n v="55056"/>
    <x v="4"/>
    <x v="0"/>
    <m/>
    <x v="1"/>
    <x v="210"/>
  </r>
  <r>
    <s v="2024-06-04"/>
    <x v="5"/>
    <m/>
    <x v="6"/>
    <x v="0"/>
    <n v="16620"/>
    <x v="1"/>
    <x v="0"/>
    <m/>
    <x v="6"/>
    <x v="211"/>
  </r>
  <r>
    <s v="2024-06-05"/>
    <x v="5"/>
    <m/>
    <x v="6"/>
    <x v="0"/>
    <n v="19609"/>
    <x v="4"/>
    <x v="0"/>
    <m/>
    <x v="3"/>
    <x v="212"/>
  </r>
  <r>
    <s v="2024-06-06"/>
    <x v="5"/>
    <m/>
    <x v="8"/>
    <x v="0"/>
    <n v="6595"/>
    <x v="3"/>
    <x v="0"/>
    <m/>
    <x v="8"/>
    <x v="213"/>
  </r>
  <r>
    <s v="2024-06-06"/>
    <x v="5"/>
    <s v="Salary"/>
    <x v="2"/>
    <x v="1"/>
    <n v="127094"/>
    <x v="0"/>
    <x v="0"/>
    <m/>
    <x v="9"/>
    <x v="214"/>
  </r>
  <r>
    <s v="2024-06-06"/>
    <x v="5"/>
    <m/>
    <x v="8"/>
    <x v="0"/>
    <n v="7214"/>
    <x v="4"/>
    <x v="0"/>
    <m/>
    <x v="4"/>
    <x v="215"/>
  </r>
  <r>
    <s v="2024-06-08"/>
    <x v="5"/>
    <s v="Interest Income"/>
    <x v="2"/>
    <x v="1"/>
    <n v="103236"/>
    <x v="0"/>
    <x v="0"/>
    <m/>
    <x v="8"/>
    <x v="216"/>
  </r>
  <r>
    <s v="2024-06-08"/>
    <x v="5"/>
    <m/>
    <x v="6"/>
    <x v="0"/>
    <n v="13143"/>
    <x v="4"/>
    <x v="0"/>
    <m/>
    <x v="3"/>
    <x v="217"/>
  </r>
  <r>
    <s v="2024-06-08"/>
    <x v="5"/>
    <s v="Bonus"/>
    <x v="2"/>
    <x v="1"/>
    <n v="96099"/>
    <x v="1"/>
    <x v="0"/>
    <m/>
    <x v="1"/>
    <x v="218"/>
  </r>
  <r>
    <s v="2024-06-09"/>
    <x v="5"/>
    <s v="Business"/>
    <x v="2"/>
    <x v="1"/>
    <n v="68883"/>
    <x v="1"/>
    <x v="0"/>
    <m/>
    <x v="2"/>
    <x v="219"/>
  </r>
  <r>
    <s v="2024-06-10"/>
    <x v="5"/>
    <m/>
    <x v="5"/>
    <x v="0"/>
    <n v="4300"/>
    <x v="1"/>
    <x v="0"/>
    <m/>
    <x v="7"/>
    <x v="220"/>
  </r>
  <r>
    <s v="2024-06-10"/>
    <x v="5"/>
    <m/>
    <x v="7"/>
    <x v="0"/>
    <n v="1902"/>
    <x v="1"/>
    <x v="0"/>
    <m/>
    <x v="5"/>
    <x v="221"/>
  </r>
  <r>
    <s v="2024-06-10"/>
    <x v="5"/>
    <m/>
    <x v="6"/>
    <x v="0"/>
    <n v="23095"/>
    <x v="3"/>
    <x v="0"/>
    <m/>
    <x v="4"/>
    <x v="222"/>
  </r>
  <r>
    <s v="2024-06-12"/>
    <x v="5"/>
    <m/>
    <x v="5"/>
    <x v="0"/>
    <n v="5854"/>
    <x v="0"/>
    <x v="0"/>
    <m/>
    <x v="9"/>
    <x v="223"/>
  </r>
  <r>
    <s v="2024-06-12"/>
    <x v="5"/>
    <m/>
    <x v="0"/>
    <x v="0"/>
    <n v="3312"/>
    <x v="5"/>
    <x v="0"/>
    <m/>
    <x v="1"/>
    <x v="224"/>
  </r>
  <r>
    <s v="2024-06-14"/>
    <x v="5"/>
    <m/>
    <x v="2"/>
    <x v="2"/>
    <n v="46280"/>
    <x v="0"/>
    <x v="5"/>
    <n v="22.54"/>
    <x v="3"/>
    <x v="225"/>
  </r>
  <r>
    <s v="2024-06-14"/>
    <x v="5"/>
    <m/>
    <x v="0"/>
    <x v="0"/>
    <n v="1035"/>
    <x v="1"/>
    <x v="0"/>
    <m/>
    <x v="6"/>
    <x v="226"/>
  </r>
  <r>
    <s v="2024-06-18"/>
    <x v="5"/>
    <m/>
    <x v="2"/>
    <x v="2"/>
    <n v="143017"/>
    <x v="3"/>
    <x v="2"/>
    <n v="-13.84"/>
    <x v="0"/>
    <x v="227"/>
  </r>
  <r>
    <s v="2024-06-18"/>
    <x v="5"/>
    <m/>
    <x v="7"/>
    <x v="0"/>
    <n v="1832"/>
    <x v="5"/>
    <x v="0"/>
    <m/>
    <x v="1"/>
    <x v="228"/>
  </r>
  <r>
    <s v="2024-06-18"/>
    <x v="5"/>
    <s v="Bonus"/>
    <x v="2"/>
    <x v="1"/>
    <n v="99052"/>
    <x v="1"/>
    <x v="0"/>
    <m/>
    <x v="4"/>
    <x v="229"/>
  </r>
  <r>
    <s v="2024-06-19"/>
    <x v="5"/>
    <m/>
    <x v="5"/>
    <x v="0"/>
    <n v="6535"/>
    <x v="0"/>
    <x v="0"/>
    <m/>
    <x v="0"/>
    <x v="230"/>
  </r>
  <r>
    <s v="2024-06-20"/>
    <x v="5"/>
    <m/>
    <x v="2"/>
    <x v="2"/>
    <n v="36078"/>
    <x v="0"/>
    <x v="2"/>
    <n v="-13.16"/>
    <x v="2"/>
    <x v="231"/>
  </r>
  <r>
    <s v="2024-06-20"/>
    <x v="5"/>
    <s v="Salary"/>
    <x v="2"/>
    <x v="1"/>
    <n v="47778"/>
    <x v="4"/>
    <x v="0"/>
    <m/>
    <x v="1"/>
    <x v="232"/>
  </r>
  <r>
    <s v="2024-06-24"/>
    <x v="5"/>
    <m/>
    <x v="8"/>
    <x v="0"/>
    <n v="9734"/>
    <x v="0"/>
    <x v="0"/>
    <m/>
    <x v="6"/>
    <x v="233"/>
  </r>
  <r>
    <s v="2024-06-25"/>
    <x v="5"/>
    <m/>
    <x v="4"/>
    <x v="0"/>
    <n v="4805"/>
    <x v="5"/>
    <x v="0"/>
    <m/>
    <x v="3"/>
    <x v="234"/>
  </r>
  <r>
    <s v="2024-06-26"/>
    <x v="5"/>
    <m/>
    <x v="8"/>
    <x v="0"/>
    <n v="9450"/>
    <x v="5"/>
    <x v="0"/>
    <m/>
    <x v="9"/>
    <x v="235"/>
  </r>
  <r>
    <s v="2024-06-26"/>
    <x v="5"/>
    <s v="Interest Income"/>
    <x v="2"/>
    <x v="1"/>
    <n v="67619"/>
    <x v="0"/>
    <x v="0"/>
    <m/>
    <x v="1"/>
    <x v="236"/>
  </r>
  <r>
    <s v="2024-06-27"/>
    <x v="5"/>
    <s v="Freelancing"/>
    <x v="2"/>
    <x v="1"/>
    <n v="125352"/>
    <x v="2"/>
    <x v="0"/>
    <m/>
    <x v="8"/>
    <x v="237"/>
  </r>
  <r>
    <s v="2024-06-27"/>
    <x v="5"/>
    <m/>
    <x v="2"/>
    <x v="2"/>
    <n v="12636"/>
    <x v="2"/>
    <x v="6"/>
    <n v="-1.02"/>
    <x v="3"/>
    <x v="238"/>
  </r>
  <r>
    <s v="2024-06-28"/>
    <x v="5"/>
    <s v="Rental Income"/>
    <x v="2"/>
    <x v="1"/>
    <n v="75322"/>
    <x v="2"/>
    <x v="0"/>
    <m/>
    <x v="7"/>
    <x v="239"/>
  </r>
  <r>
    <s v="2024-06-28"/>
    <x v="5"/>
    <m/>
    <x v="4"/>
    <x v="0"/>
    <n v="895"/>
    <x v="3"/>
    <x v="0"/>
    <m/>
    <x v="3"/>
    <x v="240"/>
  </r>
  <r>
    <s v="2024-06-28"/>
    <x v="5"/>
    <m/>
    <x v="0"/>
    <x v="0"/>
    <n v="14314"/>
    <x v="2"/>
    <x v="0"/>
    <m/>
    <x v="4"/>
    <x v="241"/>
  </r>
  <r>
    <s v="2024-06-28"/>
    <x v="5"/>
    <m/>
    <x v="6"/>
    <x v="0"/>
    <n v="11681"/>
    <x v="1"/>
    <x v="0"/>
    <m/>
    <x v="0"/>
    <x v="242"/>
  </r>
  <r>
    <s v="2024-06-29"/>
    <x v="5"/>
    <m/>
    <x v="4"/>
    <x v="0"/>
    <n v="10632"/>
    <x v="2"/>
    <x v="0"/>
    <m/>
    <x v="7"/>
    <x v="243"/>
  </r>
  <r>
    <s v="2024-06-30"/>
    <x v="5"/>
    <m/>
    <x v="4"/>
    <x v="0"/>
    <n v="2403"/>
    <x v="0"/>
    <x v="0"/>
    <m/>
    <x v="2"/>
    <x v="244"/>
  </r>
  <r>
    <s v="2024-06-30"/>
    <x v="5"/>
    <m/>
    <x v="1"/>
    <x v="0"/>
    <n v="42356"/>
    <x v="4"/>
    <x v="0"/>
    <m/>
    <x v="0"/>
    <x v="245"/>
  </r>
  <r>
    <s v="2024-07-01"/>
    <x v="6"/>
    <m/>
    <x v="2"/>
    <x v="2"/>
    <n v="74316"/>
    <x v="1"/>
    <x v="4"/>
    <n v="-9.52"/>
    <x v="6"/>
    <x v="246"/>
  </r>
  <r>
    <s v="2024-07-01"/>
    <x v="6"/>
    <m/>
    <x v="2"/>
    <x v="2"/>
    <n v="31063"/>
    <x v="0"/>
    <x v="2"/>
    <n v="5.87"/>
    <x v="6"/>
    <x v="247"/>
  </r>
  <r>
    <s v="2024-07-02"/>
    <x v="6"/>
    <s v="Salary"/>
    <x v="2"/>
    <x v="1"/>
    <n v="152464"/>
    <x v="1"/>
    <x v="0"/>
    <m/>
    <x v="1"/>
    <x v="248"/>
  </r>
  <r>
    <s v="2024-07-03"/>
    <x v="6"/>
    <m/>
    <x v="7"/>
    <x v="0"/>
    <n v="3128"/>
    <x v="3"/>
    <x v="0"/>
    <m/>
    <x v="1"/>
    <x v="249"/>
  </r>
  <r>
    <s v="2024-07-04"/>
    <x v="6"/>
    <s v="Interest Income"/>
    <x v="2"/>
    <x v="1"/>
    <n v="80556"/>
    <x v="3"/>
    <x v="0"/>
    <m/>
    <x v="6"/>
    <x v="250"/>
  </r>
  <r>
    <s v="2024-07-05"/>
    <x v="6"/>
    <s v="Bonus"/>
    <x v="2"/>
    <x v="1"/>
    <n v="100813"/>
    <x v="1"/>
    <x v="0"/>
    <m/>
    <x v="3"/>
    <x v="251"/>
  </r>
  <r>
    <s v="2024-07-05"/>
    <x v="6"/>
    <m/>
    <x v="4"/>
    <x v="0"/>
    <n v="7388"/>
    <x v="2"/>
    <x v="0"/>
    <m/>
    <x v="6"/>
    <x v="252"/>
  </r>
  <r>
    <s v="2024-07-07"/>
    <x v="6"/>
    <m/>
    <x v="2"/>
    <x v="2"/>
    <n v="16654"/>
    <x v="0"/>
    <x v="6"/>
    <n v="-10.09"/>
    <x v="2"/>
    <x v="253"/>
  </r>
  <r>
    <s v="2024-07-09"/>
    <x v="6"/>
    <s v="Salary"/>
    <x v="2"/>
    <x v="1"/>
    <n v="76657"/>
    <x v="3"/>
    <x v="0"/>
    <m/>
    <x v="8"/>
    <x v="254"/>
  </r>
  <r>
    <s v="2024-07-09"/>
    <x v="6"/>
    <m/>
    <x v="2"/>
    <x v="2"/>
    <n v="2227"/>
    <x v="2"/>
    <x v="6"/>
    <n v="-14.6"/>
    <x v="0"/>
    <x v="255"/>
  </r>
  <r>
    <s v="2024-07-09"/>
    <x v="6"/>
    <s v="Business"/>
    <x v="2"/>
    <x v="1"/>
    <n v="92338"/>
    <x v="2"/>
    <x v="0"/>
    <m/>
    <x v="1"/>
    <x v="256"/>
  </r>
  <r>
    <s v="2024-07-10"/>
    <x v="6"/>
    <m/>
    <x v="6"/>
    <x v="0"/>
    <n v="42307"/>
    <x v="5"/>
    <x v="0"/>
    <m/>
    <x v="8"/>
    <x v="257"/>
  </r>
  <r>
    <s v="2024-07-11"/>
    <x v="6"/>
    <m/>
    <x v="0"/>
    <x v="0"/>
    <n v="16174"/>
    <x v="2"/>
    <x v="0"/>
    <m/>
    <x v="4"/>
    <x v="258"/>
  </r>
  <r>
    <s v="2024-07-11"/>
    <x v="6"/>
    <s v="Interest Income"/>
    <x v="2"/>
    <x v="1"/>
    <n v="77993"/>
    <x v="0"/>
    <x v="0"/>
    <m/>
    <x v="0"/>
    <x v="259"/>
  </r>
  <r>
    <s v="2024-07-13"/>
    <x v="6"/>
    <m/>
    <x v="4"/>
    <x v="0"/>
    <n v="7212"/>
    <x v="1"/>
    <x v="0"/>
    <m/>
    <x v="9"/>
    <x v="260"/>
  </r>
  <r>
    <s v="2024-07-13"/>
    <x v="6"/>
    <m/>
    <x v="8"/>
    <x v="0"/>
    <n v="5803"/>
    <x v="4"/>
    <x v="0"/>
    <m/>
    <x v="3"/>
    <x v="261"/>
  </r>
  <r>
    <s v="2024-07-13"/>
    <x v="6"/>
    <s v="Dividends"/>
    <x v="2"/>
    <x v="1"/>
    <n v="80211"/>
    <x v="2"/>
    <x v="0"/>
    <m/>
    <x v="5"/>
    <x v="262"/>
  </r>
  <r>
    <s v="2024-07-14"/>
    <x v="6"/>
    <s v="Salary"/>
    <x v="2"/>
    <x v="1"/>
    <n v="179282"/>
    <x v="4"/>
    <x v="0"/>
    <m/>
    <x v="1"/>
    <x v="263"/>
  </r>
  <r>
    <s v="2024-07-14"/>
    <x v="6"/>
    <m/>
    <x v="7"/>
    <x v="0"/>
    <n v="3302"/>
    <x v="5"/>
    <x v="0"/>
    <m/>
    <x v="5"/>
    <x v="264"/>
  </r>
  <r>
    <s v="2024-07-15"/>
    <x v="6"/>
    <m/>
    <x v="5"/>
    <x v="0"/>
    <n v="6878"/>
    <x v="5"/>
    <x v="0"/>
    <m/>
    <x v="9"/>
    <x v="265"/>
  </r>
  <r>
    <s v="2024-07-16"/>
    <x v="6"/>
    <m/>
    <x v="2"/>
    <x v="2"/>
    <n v="6324"/>
    <x v="4"/>
    <x v="6"/>
    <n v="16.440000000000001"/>
    <x v="9"/>
    <x v="266"/>
  </r>
  <r>
    <s v="2024-07-18"/>
    <x v="6"/>
    <m/>
    <x v="0"/>
    <x v="0"/>
    <n v="17661"/>
    <x v="5"/>
    <x v="0"/>
    <m/>
    <x v="2"/>
    <x v="267"/>
  </r>
  <r>
    <s v="2024-07-19"/>
    <x v="6"/>
    <s v="Dividends"/>
    <x v="2"/>
    <x v="1"/>
    <n v="54203"/>
    <x v="3"/>
    <x v="0"/>
    <m/>
    <x v="6"/>
    <x v="268"/>
  </r>
  <r>
    <s v="2024-07-20"/>
    <x v="6"/>
    <m/>
    <x v="5"/>
    <x v="0"/>
    <n v="1225"/>
    <x v="4"/>
    <x v="0"/>
    <m/>
    <x v="9"/>
    <x v="269"/>
  </r>
  <r>
    <s v="2024-07-20"/>
    <x v="6"/>
    <s v="Dividends"/>
    <x v="2"/>
    <x v="1"/>
    <n v="35044"/>
    <x v="4"/>
    <x v="0"/>
    <m/>
    <x v="8"/>
    <x v="270"/>
  </r>
  <r>
    <s v="2024-07-21"/>
    <x v="6"/>
    <m/>
    <x v="3"/>
    <x v="0"/>
    <n v="18888"/>
    <x v="2"/>
    <x v="0"/>
    <m/>
    <x v="7"/>
    <x v="271"/>
  </r>
  <r>
    <s v="2024-07-22"/>
    <x v="6"/>
    <m/>
    <x v="0"/>
    <x v="0"/>
    <n v="7523"/>
    <x v="3"/>
    <x v="0"/>
    <m/>
    <x v="0"/>
    <x v="272"/>
  </r>
  <r>
    <s v="2024-07-22"/>
    <x v="6"/>
    <m/>
    <x v="2"/>
    <x v="2"/>
    <n v="18979"/>
    <x v="2"/>
    <x v="4"/>
    <n v="-4.8"/>
    <x v="4"/>
    <x v="273"/>
  </r>
  <r>
    <s v="2024-07-22"/>
    <x v="6"/>
    <m/>
    <x v="7"/>
    <x v="0"/>
    <n v="2880"/>
    <x v="1"/>
    <x v="0"/>
    <m/>
    <x v="8"/>
    <x v="274"/>
  </r>
  <r>
    <s v="2024-07-24"/>
    <x v="6"/>
    <s v="Dividends"/>
    <x v="2"/>
    <x v="1"/>
    <n v="91173"/>
    <x v="4"/>
    <x v="0"/>
    <m/>
    <x v="4"/>
    <x v="275"/>
  </r>
  <r>
    <s v="2024-07-25"/>
    <x v="6"/>
    <m/>
    <x v="2"/>
    <x v="2"/>
    <n v="24492"/>
    <x v="5"/>
    <x v="6"/>
    <n v="-7.37"/>
    <x v="6"/>
    <x v="276"/>
  </r>
  <r>
    <s v="2024-07-25"/>
    <x v="6"/>
    <m/>
    <x v="2"/>
    <x v="2"/>
    <n v="20382"/>
    <x v="5"/>
    <x v="1"/>
    <n v="20.87"/>
    <x v="4"/>
    <x v="277"/>
  </r>
  <r>
    <s v="2024-07-27"/>
    <x v="6"/>
    <m/>
    <x v="5"/>
    <x v="0"/>
    <n v="4340"/>
    <x v="3"/>
    <x v="0"/>
    <m/>
    <x v="9"/>
    <x v="278"/>
  </r>
  <r>
    <s v="2024-07-27"/>
    <x v="6"/>
    <s v="Freelancing"/>
    <x v="2"/>
    <x v="1"/>
    <n v="90505"/>
    <x v="3"/>
    <x v="0"/>
    <m/>
    <x v="3"/>
    <x v="279"/>
  </r>
  <r>
    <s v="2024-07-30"/>
    <x v="6"/>
    <s v="Business"/>
    <x v="2"/>
    <x v="1"/>
    <n v="36479"/>
    <x v="3"/>
    <x v="0"/>
    <m/>
    <x v="8"/>
    <x v="280"/>
  </r>
  <r>
    <s v="2024-07-30"/>
    <x v="6"/>
    <s v="Interest Income"/>
    <x v="2"/>
    <x v="1"/>
    <n v="80456"/>
    <x v="2"/>
    <x v="0"/>
    <m/>
    <x v="4"/>
    <x v="281"/>
  </r>
  <r>
    <s v="2024-07-31"/>
    <x v="6"/>
    <m/>
    <x v="1"/>
    <x v="0"/>
    <n v="35437"/>
    <x v="3"/>
    <x v="0"/>
    <m/>
    <x v="4"/>
    <x v="282"/>
  </r>
  <r>
    <s v="2024-07-31"/>
    <x v="6"/>
    <m/>
    <x v="1"/>
    <x v="0"/>
    <n v="22666"/>
    <x v="1"/>
    <x v="0"/>
    <m/>
    <x v="6"/>
    <x v="283"/>
  </r>
  <r>
    <s v="2024-08-02"/>
    <x v="7"/>
    <m/>
    <x v="2"/>
    <x v="2"/>
    <n v="190652"/>
    <x v="4"/>
    <x v="5"/>
    <n v="0.08"/>
    <x v="0"/>
    <x v="284"/>
  </r>
  <r>
    <s v="2024-08-02"/>
    <x v="7"/>
    <s v="Salary"/>
    <x v="2"/>
    <x v="1"/>
    <n v="106876"/>
    <x v="5"/>
    <x v="0"/>
    <m/>
    <x v="8"/>
    <x v="285"/>
  </r>
  <r>
    <s v="2024-08-03"/>
    <x v="7"/>
    <m/>
    <x v="6"/>
    <x v="0"/>
    <n v="31178"/>
    <x v="2"/>
    <x v="0"/>
    <m/>
    <x v="2"/>
    <x v="286"/>
  </r>
  <r>
    <s v="2024-08-04"/>
    <x v="7"/>
    <m/>
    <x v="2"/>
    <x v="2"/>
    <n v="75289"/>
    <x v="0"/>
    <x v="1"/>
    <n v="5.45"/>
    <x v="8"/>
    <x v="287"/>
  </r>
  <r>
    <s v="2024-08-04"/>
    <x v="7"/>
    <m/>
    <x v="4"/>
    <x v="0"/>
    <n v="2937"/>
    <x v="1"/>
    <x v="0"/>
    <m/>
    <x v="1"/>
    <x v="288"/>
  </r>
  <r>
    <s v="2024-08-05"/>
    <x v="7"/>
    <m/>
    <x v="5"/>
    <x v="0"/>
    <n v="2988"/>
    <x v="5"/>
    <x v="0"/>
    <m/>
    <x v="0"/>
    <x v="289"/>
  </r>
  <r>
    <s v="2024-08-05"/>
    <x v="7"/>
    <s v="Bonus"/>
    <x v="2"/>
    <x v="1"/>
    <n v="73784"/>
    <x v="0"/>
    <x v="0"/>
    <m/>
    <x v="4"/>
    <x v="290"/>
  </r>
  <r>
    <s v="2024-08-06"/>
    <x v="7"/>
    <m/>
    <x v="8"/>
    <x v="0"/>
    <n v="6411"/>
    <x v="5"/>
    <x v="0"/>
    <m/>
    <x v="1"/>
    <x v="291"/>
  </r>
  <r>
    <s v="2024-08-08"/>
    <x v="7"/>
    <m/>
    <x v="1"/>
    <x v="0"/>
    <n v="23340"/>
    <x v="1"/>
    <x v="0"/>
    <m/>
    <x v="4"/>
    <x v="292"/>
  </r>
  <r>
    <s v="2024-08-08"/>
    <x v="7"/>
    <m/>
    <x v="2"/>
    <x v="2"/>
    <n v="169614"/>
    <x v="0"/>
    <x v="5"/>
    <n v="7.69"/>
    <x v="9"/>
    <x v="293"/>
  </r>
  <r>
    <s v="2024-08-08"/>
    <x v="7"/>
    <m/>
    <x v="3"/>
    <x v="0"/>
    <n v="23987"/>
    <x v="5"/>
    <x v="0"/>
    <m/>
    <x v="8"/>
    <x v="294"/>
  </r>
  <r>
    <s v="2024-08-09"/>
    <x v="7"/>
    <m/>
    <x v="2"/>
    <x v="2"/>
    <n v="8633"/>
    <x v="2"/>
    <x v="3"/>
    <n v="16.18"/>
    <x v="2"/>
    <x v="295"/>
  </r>
  <r>
    <s v="2024-08-10"/>
    <x v="7"/>
    <m/>
    <x v="2"/>
    <x v="2"/>
    <n v="152133"/>
    <x v="5"/>
    <x v="5"/>
    <n v="-12.38"/>
    <x v="6"/>
    <x v="296"/>
  </r>
  <r>
    <s v="2024-08-11"/>
    <x v="7"/>
    <m/>
    <x v="2"/>
    <x v="2"/>
    <n v="6989"/>
    <x v="4"/>
    <x v="6"/>
    <n v="25.73"/>
    <x v="1"/>
    <x v="297"/>
  </r>
  <r>
    <s v="2024-08-12"/>
    <x v="7"/>
    <s v="Dividends"/>
    <x v="2"/>
    <x v="1"/>
    <n v="150779"/>
    <x v="3"/>
    <x v="0"/>
    <m/>
    <x v="6"/>
    <x v="298"/>
  </r>
  <r>
    <s v="2024-08-12"/>
    <x v="7"/>
    <s v="Bonus"/>
    <x v="2"/>
    <x v="1"/>
    <n v="15179"/>
    <x v="5"/>
    <x v="0"/>
    <m/>
    <x v="0"/>
    <x v="299"/>
  </r>
  <r>
    <s v="2024-08-12"/>
    <x v="7"/>
    <m/>
    <x v="2"/>
    <x v="2"/>
    <n v="47411"/>
    <x v="1"/>
    <x v="5"/>
    <n v="19.170000000000002"/>
    <x v="0"/>
    <x v="300"/>
  </r>
  <r>
    <s v="2024-08-13"/>
    <x v="7"/>
    <s v="Bonus"/>
    <x v="2"/>
    <x v="1"/>
    <n v="158058"/>
    <x v="5"/>
    <x v="0"/>
    <m/>
    <x v="5"/>
    <x v="301"/>
  </r>
  <r>
    <s v="2024-08-14"/>
    <x v="7"/>
    <m/>
    <x v="6"/>
    <x v="0"/>
    <n v="40517"/>
    <x v="1"/>
    <x v="0"/>
    <m/>
    <x v="4"/>
    <x v="302"/>
  </r>
  <r>
    <s v="2024-08-14"/>
    <x v="7"/>
    <m/>
    <x v="3"/>
    <x v="0"/>
    <n v="9317"/>
    <x v="4"/>
    <x v="0"/>
    <m/>
    <x v="2"/>
    <x v="303"/>
  </r>
  <r>
    <s v="2024-08-15"/>
    <x v="7"/>
    <m/>
    <x v="5"/>
    <x v="0"/>
    <n v="3644"/>
    <x v="5"/>
    <x v="0"/>
    <m/>
    <x v="4"/>
    <x v="304"/>
  </r>
  <r>
    <s v="2024-08-15"/>
    <x v="7"/>
    <m/>
    <x v="4"/>
    <x v="0"/>
    <n v="1187"/>
    <x v="2"/>
    <x v="0"/>
    <m/>
    <x v="2"/>
    <x v="305"/>
  </r>
  <r>
    <s v="2024-08-15"/>
    <x v="7"/>
    <s v="Business"/>
    <x v="2"/>
    <x v="1"/>
    <n v="20688"/>
    <x v="4"/>
    <x v="0"/>
    <m/>
    <x v="9"/>
    <x v="306"/>
  </r>
  <r>
    <s v="2024-08-17"/>
    <x v="7"/>
    <m/>
    <x v="0"/>
    <x v="0"/>
    <n v="10783"/>
    <x v="5"/>
    <x v="0"/>
    <m/>
    <x v="8"/>
    <x v="307"/>
  </r>
  <r>
    <s v="2024-08-17"/>
    <x v="7"/>
    <m/>
    <x v="0"/>
    <x v="0"/>
    <n v="8085"/>
    <x v="2"/>
    <x v="0"/>
    <m/>
    <x v="9"/>
    <x v="308"/>
  </r>
  <r>
    <s v="2024-08-18"/>
    <x v="7"/>
    <m/>
    <x v="2"/>
    <x v="2"/>
    <n v="10470"/>
    <x v="4"/>
    <x v="6"/>
    <n v="15.31"/>
    <x v="3"/>
    <x v="309"/>
  </r>
  <r>
    <s v="2024-08-18"/>
    <x v="7"/>
    <s v="Bonus"/>
    <x v="2"/>
    <x v="1"/>
    <n v="50982"/>
    <x v="0"/>
    <x v="0"/>
    <m/>
    <x v="2"/>
    <x v="310"/>
  </r>
  <r>
    <s v="2024-08-19"/>
    <x v="7"/>
    <m/>
    <x v="2"/>
    <x v="2"/>
    <n v="23228"/>
    <x v="0"/>
    <x v="2"/>
    <n v="-2.2799999999999998"/>
    <x v="7"/>
    <x v="311"/>
  </r>
  <r>
    <s v="2024-08-19"/>
    <x v="7"/>
    <m/>
    <x v="8"/>
    <x v="0"/>
    <n v="5613"/>
    <x v="1"/>
    <x v="0"/>
    <m/>
    <x v="8"/>
    <x v="312"/>
  </r>
  <r>
    <s v="2024-08-20"/>
    <x v="7"/>
    <m/>
    <x v="0"/>
    <x v="0"/>
    <n v="3525"/>
    <x v="4"/>
    <x v="0"/>
    <m/>
    <x v="8"/>
    <x v="313"/>
  </r>
  <r>
    <s v="2024-08-20"/>
    <x v="7"/>
    <m/>
    <x v="2"/>
    <x v="2"/>
    <n v="45352"/>
    <x v="5"/>
    <x v="4"/>
    <n v="0.73"/>
    <x v="5"/>
    <x v="314"/>
  </r>
  <r>
    <s v="2024-08-21"/>
    <x v="7"/>
    <s v="Dividends"/>
    <x v="2"/>
    <x v="1"/>
    <n v="65627"/>
    <x v="3"/>
    <x v="0"/>
    <m/>
    <x v="4"/>
    <x v="315"/>
  </r>
  <r>
    <s v="2024-08-22"/>
    <x v="7"/>
    <m/>
    <x v="2"/>
    <x v="2"/>
    <n v="14145"/>
    <x v="1"/>
    <x v="6"/>
    <n v="-3.49"/>
    <x v="0"/>
    <x v="316"/>
  </r>
  <r>
    <s v="2024-08-22"/>
    <x v="7"/>
    <s v="Salary"/>
    <x v="2"/>
    <x v="1"/>
    <n v="101619"/>
    <x v="0"/>
    <x v="0"/>
    <m/>
    <x v="7"/>
    <x v="317"/>
  </r>
  <r>
    <s v="2024-08-22"/>
    <x v="7"/>
    <m/>
    <x v="2"/>
    <x v="2"/>
    <n v="163910"/>
    <x v="4"/>
    <x v="5"/>
    <n v="25.88"/>
    <x v="9"/>
    <x v="318"/>
  </r>
  <r>
    <s v="2024-08-22"/>
    <x v="7"/>
    <m/>
    <x v="2"/>
    <x v="2"/>
    <n v="54969"/>
    <x v="4"/>
    <x v="4"/>
    <n v="7.0000000000000007E-2"/>
    <x v="0"/>
    <x v="319"/>
  </r>
  <r>
    <s v="2024-08-24"/>
    <x v="7"/>
    <s v="Freelancing"/>
    <x v="2"/>
    <x v="1"/>
    <n v="97719"/>
    <x v="0"/>
    <x v="0"/>
    <m/>
    <x v="7"/>
    <x v="320"/>
  </r>
  <r>
    <s v="2024-08-25"/>
    <x v="7"/>
    <m/>
    <x v="5"/>
    <x v="0"/>
    <n v="3964"/>
    <x v="5"/>
    <x v="0"/>
    <m/>
    <x v="6"/>
    <x v="321"/>
  </r>
  <r>
    <s v="2024-08-25"/>
    <x v="7"/>
    <m/>
    <x v="2"/>
    <x v="2"/>
    <n v="20830"/>
    <x v="2"/>
    <x v="6"/>
    <n v="18.07"/>
    <x v="2"/>
    <x v="322"/>
  </r>
  <r>
    <s v="2024-08-26"/>
    <x v="7"/>
    <s v="Business"/>
    <x v="2"/>
    <x v="1"/>
    <n v="39092"/>
    <x v="2"/>
    <x v="0"/>
    <m/>
    <x v="2"/>
    <x v="323"/>
  </r>
  <r>
    <s v="2024-08-28"/>
    <x v="7"/>
    <m/>
    <x v="3"/>
    <x v="0"/>
    <n v="7025"/>
    <x v="1"/>
    <x v="0"/>
    <m/>
    <x v="6"/>
    <x v="324"/>
  </r>
  <r>
    <s v="2024-08-28"/>
    <x v="7"/>
    <s v="Business"/>
    <x v="2"/>
    <x v="1"/>
    <n v="156597"/>
    <x v="0"/>
    <x v="0"/>
    <m/>
    <x v="5"/>
    <x v="325"/>
  </r>
  <r>
    <s v="2024-08-29"/>
    <x v="7"/>
    <s v="Business"/>
    <x v="2"/>
    <x v="1"/>
    <n v="66713"/>
    <x v="1"/>
    <x v="0"/>
    <m/>
    <x v="0"/>
    <x v="326"/>
  </r>
  <r>
    <s v="2024-08-29"/>
    <x v="7"/>
    <m/>
    <x v="8"/>
    <x v="0"/>
    <n v="746"/>
    <x v="1"/>
    <x v="0"/>
    <m/>
    <x v="9"/>
    <x v="327"/>
  </r>
  <r>
    <s v="2024-08-30"/>
    <x v="7"/>
    <s v="Rental Income"/>
    <x v="2"/>
    <x v="1"/>
    <n v="104940"/>
    <x v="5"/>
    <x v="0"/>
    <m/>
    <x v="5"/>
    <x v="328"/>
  </r>
  <r>
    <s v="2024-08-31"/>
    <x v="7"/>
    <s v="Bonus"/>
    <x v="2"/>
    <x v="1"/>
    <n v="71160"/>
    <x v="2"/>
    <x v="0"/>
    <m/>
    <x v="5"/>
    <x v="329"/>
  </r>
  <r>
    <s v="2024-08-31"/>
    <x v="7"/>
    <m/>
    <x v="7"/>
    <x v="0"/>
    <n v="1126"/>
    <x v="3"/>
    <x v="0"/>
    <m/>
    <x v="0"/>
    <x v="330"/>
  </r>
  <r>
    <s v="2024-08-31"/>
    <x v="7"/>
    <s v="Bonus"/>
    <x v="2"/>
    <x v="1"/>
    <n v="164886"/>
    <x v="2"/>
    <x v="0"/>
    <m/>
    <x v="3"/>
    <x v="331"/>
  </r>
  <r>
    <s v="2024-09-01"/>
    <x v="8"/>
    <s v="Freelancing"/>
    <x v="2"/>
    <x v="1"/>
    <n v="93642"/>
    <x v="3"/>
    <x v="0"/>
    <m/>
    <x v="4"/>
    <x v="332"/>
  </r>
  <r>
    <s v="2024-09-01"/>
    <x v="8"/>
    <s v="Salary"/>
    <x v="2"/>
    <x v="1"/>
    <n v="128897"/>
    <x v="0"/>
    <x v="0"/>
    <m/>
    <x v="3"/>
    <x v="333"/>
  </r>
  <r>
    <s v="2024-09-02"/>
    <x v="8"/>
    <s v="Dividends"/>
    <x v="2"/>
    <x v="1"/>
    <n v="154209"/>
    <x v="1"/>
    <x v="0"/>
    <m/>
    <x v="1"/>
    <x v="334"/>
  </r>
  <r>
    <s v="2024-09-03"/>
    <x v="8"/>
    <m/>
    <x v="2"/>
    <x v="2"/>
    <n v="7613"/>
    <x v="0"/>
    <x v="3"/>
    <n v="16.47"/>
    <x v="7"/>
    <x v="335"/>
  </r>
  <r>
    <s v="2024-09-03"/>
    <x v="8"/>
    <m/>
    <x v="6"/>
    <x v="0"/>
    <n v="42621"/>
    <x v="0"/>
    <x v="0"/>
    <m/>
    <x v="4"/>
    <x v="336"/>
  </r>
  <r>
    <s v="2024-09-04"/>
    <x v="8"/>
    <m/>
    <x v="1"/>
    <x v="0"/>
    <n v="37384"/>
    <x v="1"/>
    <x v="0"/>
    <m/>
    <x v="3"/>
    <x v="337"/>
  </r>
  <r>
    <s v="2024-09-05"/>
    <x v="8"/>
    <m/>
    <x v="3"/>
    <x v="0"/>
    <n v="13496"/>
    <x v="1"/>
    <x v="0"/>
    <m/>
    <x v="7"/>
    <x v="338"/>
  </r>
  <r>
    <s v="2024-09-07"/>
    <x v="8"/>
    <m/>
    <x v="4"/>
    <x v="0"/>
    <n v="7479"/>
    <x v="2"/>
    <x v="0"/>
    <m/>
    <x v="9"/>
    <x v="339"/>
  </r>
  <r>
    <s v="2024-09-08"/>
    <x v="8"/>
    <m/>
    <x v="8"/>
    <x v="0"/>
    <n v="4716"/>
    <x v="3"/>
    <x v="0"/>
    <m/>
    <x v="3"/>
    <x v="340"/>
  </r>
  <r>
    <s v="2024-09-09"/>
    <x v="8"/>
    <s v="Business"/>
    <x v="2"/>
    <x v="1"/>
    <n v="127739"/>
    <x v="5"/>
    <x v="0"/>
    <m/>
    <x v="0"/>
    <x v="341"/>
  </r>
  <r>
    <s v="2024-09-10"/>
    <x v="8"/>
    <m/>
    <x v="4"/>
    <x v="0"/>
    <n v="4816"/>
    <x v="1"/>
    <x v="0"/>
    <m/>
    <x v="8"/>
    <x v="342"/>
  </r>
  <r>
    <s v="2024-09-11"/>
    <x v="8"/>
    <m/>
    <x v="8"/>
    <x v="0"/>
    <n v="3225"/>
    <x v="4"/>
    <x v="0"/>
    <m/>
    <x v="0"/>
    <x v="343"/>
  </r>
  <r>
    <s v="2024-09-11"/>
    <x v="8"/>
    <m/>
    <x v="5"/>
    <x v="0"/>
    <n v="6581"/>
    <x v="4"/>
    <x v="0"/>
    <m/>
    <x v="6"/>
    <x v="344"/>
  </r>
  <r>
    <s v="2024-09-12"/>
    <x v="8"/>
    <m/>
    <x v="2"/>
    <x v="2"/>
    <n v="14192"/>
    <x v="3"/>
    <x v="3"/>
    <n v="6.46"/>
    <x v="7"/>
    <x v="345"/>
  </r>
  <r>
    <s v="2024-09-12"/>
    <x v="8"/>
    <s v="Dividends"/>
    <x v="2"/>
    <x v="1"/>
    <n v="117163"/>
    <x v="3"/>
    <x v="0"/>
    <m/>
    <x v="1"/>
    <x v="346"/>
  </r>
  <r>
    <s v="2024-09-13"/>
    <x v="8"/>
    <m/>
    <x v="6"/>
    <x v="0"/>
    <n v="9689"/>
    <x v="1"/>
    <x v="0"/>
    <m/>
    <x v="6"/>
    <x v="347"/>
  </r>
  <r>
    <s v="2024-09-13"/>
    <x v="8"/>
    <s v="Dividends"/>
    <x v="2"/>
    <x v="1"/>
    <n v="58391"/>
    <x v="0"/>
    <x v="0"/>
    <m/>
    <x v="2"/>
    <x v="348"/>
  </r>
  <r>
    <s v="2024-09-13"/>
    <x v="8"/>
    <s v="Dividends"/>
    <x v="2"/>
    <x v="1"/>
    <n v="167199"/>
    <x v="3"/>
    <x v="0"/>
    <m/>
    <x v="4"/>
    <x v="349"/>
  </r>
  <r>
    <s v="2024-09-14"/>
    <x v="8"/>
    <m/>
    <x v="2"/>
    <x v="2"/>
    <n v="82924"/>
    <x v="2"/>
    <x v="1"/>
    <n v="6.32"/>
    <x v="1"/>
    <x v="350"/>
  </r>
  <r>
    <s v="2024-09-16"/>
    <x v="8"/>
    <s v="Rental Income"/>
    <x v="2"/>
    <x v="1"/>
    <n v="126034"/>
    <x v="2"/>
    <x v="0"/>
    <m/>
    <x v="4"/>
    <x v="351"/>
  </r>
  <r>
    <s v="2024-09-17"/>
    <x v="8"/>
    <m/>
    <x v="2"/>
    <x v="2"/>
    <n v="29560"/>
    <x v="0"/>
    <x v="1"/>
    <n v="9.8699999999999992"/>
    <x v="2"/>
    <x v="352"/>
  </r>
  <r>
    <s v="2024-09-18"/>
    <x v="8"/>
    <s v="Salary"/>
    <x v="2"/>
    <x v="1"/>
    <n v="17026"/>
    <x v="3"/>
    <x v="0"/>
    <m/>
    <x v="2"/>
    <x v="353"/>
  </r>
  <r>
    <s v="2024-09-19"/>
    <x v="8"/>
    <m/>
    <x v="5"/>
    <x v="0"/>
    <n v="402"/>
    <x v="2"/>
    <x v="0"/>
    <m/>
    <x v="4"/>
    <x v="354"/>
  </r>
  <r>
    <s v="2024-09-21"/>
    <x v="8"/>
    <m/>
    <x v="4"/>
    <x v="0"/>
    <n v="11688"/>
    <x v="4"/>
    <x v="0"/>
    <m/>
    <x v="6"/>
    <x v="355"/>
  </r>
  <r>
    <s v="2024-09-23"/>
    <x v="8"/>
    <m/>
    <x v="1"/>
    <x v="0"/>
    <n v="56785"/>
    <x v="0"/>
    <x v="0"/>
    <m/>
    <x v="3"/>
    <x v="356"/>
  </r>
  <r>
    <s v="2024-09-24"/>
    <x v="8"/>
    <m/>
    <x v="2"/>
    <x v="2"/>
    <n v="47762"/>
    <x v="5"/>
    <x v="4"/>
    <n v="-1.32"/>
    <x v="1"/>
    <x v="357"/>
  </r>
  <r>
    <s v="2024-09-26"/>
    <x v="8"/>
    <m/>
    <x v="6"/>
    <x v="0"/>
    <n v="36774"/>
    <x v="0"/>
    <x v="0"/>
    <m/>
    <x v="1"/>
    <x v="358"/>
  </r>
  <r>
    <s v="2024-09-26"/>
    <x v="8"/>
    <s v="Business"/>
    <x v="2"/>
    <x v="1"/>
    <n v="162913"/>
    <x v="0"/>
    <x v="0"/>
    <m/>
    <x v="5"/>
    <x v="359"/>
  </r>
  <r>
    <s v="2024-09-26"/>
    <x v="8"/>
    <s v="Dividends"/>
    <x v="2"/>
    <x v="1"/>
    <n v="77799"/>
    <x v="2"/>
    <x v="0"/>
    <m/>
    <x v="0"/>
    <x v="360"/>
  </r>
  <r>
    <s v="2024-09-27"/>
    <x v="8"/>
    <m/>
    <x v="4"/>
    <x v="0"/>
    <n v="4229"/>
    <x v="1"/>
    <x v="0"/>
    <m/>
    <x v="7"/>
    <x v="361"/>
  </r>
  <r>
    <s v="2024-09-27"/>
    <x v="8"/>
    <s v="Rental Income"/>
    <x v="2"/>
    <x v="1"/>
    <n v="81850"/>
    <x v="0"/>
    <x v="0"/>
    <m/>
    <x v="4"/>
    <x v="362"/>
  </r>
  <r>
    <s v="2024-09-29"/>
    <x v="8"/>
    <m/>
    <x v="2"/>
    <x v="2"/>
    <n v="5908"/>
    <x v="5"/>
    <x v="3"/>
    <n v="-7.87"/>
    <x v="0"/>
    <x v="363"/>
  </r>
  <r>
    <s v="2024-09-30"/>
    <x v="8"/>
    <s v="Dividends"/>
    <x v="2"/>
    <x v="1"/>
    <n v="43336"/>
    <x v="3"/>
    <x v="0"/>
    <m/>
    <x v="6"/>
    <x v="364"/>
  </r>
  <r>
    <s v="2024-09-30"/>
    <x v="8"/>
    <m/>
    <x v="4"/>
    <x v="0"/>
    <n v="1886"/>
    <x v="0"/>
    <x v="0"/>
    <m/>
    <x v="9"/>
    <x v="365"/>
  </r>
  <r>
    <s v="2024-10-01"/>
    <x v="9"/>
    <m/>
    <x v="7"/>
    <x v="0"/>
    <n v="448"/>
    <x v="1"/>
    <x v="0"/>
    <m/>
    <x v="0"/>
    <x v="366"/>
  </r>
  <r>
    <s v="2024-10-02"/>
    <x v="9"/>
    <m/>
    <x v="6"/>
    <x v="0"/>
    <n v="9923"/>
    <x v="5"/>
    <x v="0"/>
    <m/>
    <x v="2"/>
    <x v="367"/>
  </r>
  <r>
    <s v="2024-10-02"/>
    <x v="9"/>
    <m/>
    <x v="6"/>
    <x v="0"/>
    <n v="19954"/>
    <x v="1"/>
    <x v="0"/>
    <m/>
    <x v="9"/>
    <x v="368"/>
  </r>
  <r>
    <s v="2024-10-04"/>
    <x v="9"/>
    <m/>
    <x v="2"/>
    <x v="2"/>
    <n v="36601"/>
    <x v="2"/>
    <x v="1"/>
    <n v="-9.1"/>
    <x v="0"/>
    <x v="369"/>
  </r>
  <r>
    <s v="2024-10-04"/>
    <x v="9"/>
    <m/>
    <x v="2"/>
    <x v="2"/>
    <n v="20232"/>
    <x v="3"/>
    <x v="6"/>
    <n v="7.4"/>
    <x v="2"/>
    <x v="370"/>
  </r>
  <r>
    <s v="2024-10-05"/>
    <x v="9"/>
    <m/>
    <x v="1"/>
    <x v="0"/>
    <n v="29688"/>
    <x v="0"/>
    <x v="0"/>
    <m/>
    <x v="0"/>
    <x v="371"/>
  </r>
  <r>
    <s v="2024-10-05"/>
    <x v="9"/>
    <m/>
    <x v="5"/>
    <x v="0"/>
    <n v="6035"/>
    <x v="2"/>
    <x v="0"/>
    <m/>
    <x v="8"/>
    <x v="372"/>
  </r>
  <r>
    <s v="2024-10-08"/>
    <x v="9"/>
    <s v="Interest Income"/>
    <x v="2"/>
    <x v="1"/>
    <n v="27856"/>
    <x v="2"/>
    <x v="0"/>
    <m/>
    <x v="3"/>
    <x v="373"/>
  </r>
  <r>
    <s v="2024-10-08"/>
    <x v="9"/>
    <m/>
    <x v="7"/>
    <x v="0"/>
    <n v="457"/>
    <x v="4"/>
    <x v="0"/>
    <m/>
    <x v="2"/>
    <x v="374"/>
  </r>
  <r>
    <s v="2024-10-08"/>
    <x v="9"/>
    <m/>
    <x v="2"/>
    <x v="2"/>
    <n v="155364"/>
    <x v="2"/>
    <x v="5"/>
    <n v="-8.11"/>
    <x v="5"/>
    <x v="375"/>
  </r>
  <r>
    <s v="2024-10-09"/>
    <x v="9"/>
    <m/>
    <x v="1"/>
    <x v="0"/>
    <n v="52292"/>
    <x v="0"/>
    <x v="0"/>
    <m/>
    <x v="4"/>
    <x v="376"/>
  </r>
  <r>
    <s v="2024-10-09"/>
    <x v="9"/>
    <m/>
    <x v="7"/>
    <x v="0"/>
    <n v="3371"/>
    <x v="4"/>
    <x v="0"/>
    <m/>
    <x v="0"/>
    <x v="377"/>
  </r>
  <r>
    <s v="2024-10-11"/>
    <x v="9"/>
    <m/>
    <x v="2"/>
    <x v="2"/>
    <n v="12463"/>
    <x v="5"/>
    <x v="3"/>
    <n v="15.02"/>
    <x v="9"/>
    <x v="378"/>
  </r>
  <r>
    <s v="2024-10-11"/>
    <x v="9"/>
    <s v="Freelancing"/>
    <x v="2"/>
    <x v="1"/>
    <n v="159309"/>
    <x v="4"/>
    <x v="0"/>
    <m/>
    <x v="2"/>
    <x v="379"/>
  </r>
  <r>
    <s v="2024-10-12"/>
    <x v="9"/>
    <m/>
    <x v="2"/>
    <x v="2"/>
    <n v="12506"/>
    <x v="3"/>
    <x v="6"/>
    <n v="12.58"/>
    <x v="7"/>
    <x v="380"/>
  </r>
  <r>
    <s v="2024-10-12"/>
    <x v="9"/>
    <m/>
    <x v="2"/>
    <x v="2"/>
    <n v="124820"/>
    <x v="4"/>
    <x v="2"/>
    <n v="9.5"/>
    <x v="2"/>
    <x v="381"/>
  </r>
  <r>
    <s v="2024-10-13"/>
    <x v="9"/>
    <m/>
    <x v="4"/>
    <x v="0"/>
    <n v="9735"/>
    <x v="4"/>
    <x v="0"/>
    <m/>
    <x v="1"/>
    <x v="382"/>
  </r>
  <r>
    <s v="2024-10-17"/>
    <x v="9"/>
    <m/>
    <x v="0"/>
    <x v="0"/>
    <n v="8747"/>
    <x v="1"/>
    <x v="0"/>
    <m/>
    <x v="6"/>
    <x v="383"/>
  </r>
  <r>
    <s v="2024-10-17"/>
    <x v="9"/>
    <m/>
    <x v="4"/>
    <x v="0"/>
    <n v="2450"/>
    <x v="2"/>
    <x v="0"/>
    <m/>
    <x v="5"/>
    <x v="384"/>
  </r>
  <r>
    <s v="2024-10-17"/>
    <x v="9"/>
    <s v="Dividends"/>
    <x v="2"/>
    <x v="1"/>
    <n v="176995"/>
    <x v="5"/>
    <x v="0"/>
    <m/>
    <x v="6"/>
    <x v="385"/>
  </r>
  <r>
    <s v="2024-10-18"/>
    <x v="9"/>
    <s v="Salary"/>
    <x v="2"/>
    <x v="1"/>
    <n v="57705"/>
    <x v="2"/>
    <x v="0"/>
    <m/>
    <x v="1"/>
    <x v="386"/>
  </r>
  <r>
    <s v="2024-10-18"/>
    <x v="9"/>
    <m/>
    <x v="8"/>
    <x v="0"/>
    <n v="6193"/>
    <x v="5"/>
    <x v="0"/>
    <m/>
    <x v="1"/>
    <x v="387"/>
  </r>
  <r>
    <s v="2024-10-19"/>
    <x v="9"/>
    <m/>
    <x v="7"/>
    <x v="0"/>
    <n v="2835"/>
    <x v="5"/>
    <x v="0"/>
    <m/>
    <x v="9"/>
    <x v="388"/>
  </r>
  <r>
    <s v="2024-10-19"/>
    <x v="9"/>
    <m/>
    <x v="1"/>
    <x v="0"/>
    <n v="14118"/>
    <x v="0"/>
    <x v="0"/>
    <m/>
    <x v="5"/>
    <x v="389"/>
  </r>
  <r>
    <s v="2024-10-19"/>
    <x v="9"/>
    <m/>
    <x v="6"/>
    <x v="0"/>
    <n v="36241"/>
    <x v="1"/>
    <x v="0"/>
    <m/>
    <x v="9"/>
    <x v="390"/>
  </r>
  <r>
    <s v="2024-10-19"/>
    <x v="9"/>
    <m/>
    <x v="2"/>
    <x v="2"/>
    <n v="14464"/>
    <x v="4"/>
    <x v="6"/>
    <n v="-3.64"/>
    <x v="3"/>
    <x v="391"/>
  </r>
  <r>
    <s v="2024-10-20"/>
    <x v="9"/>
    <s v="Interest Income"/>
    <x v="2"/>
    <x v="1"/>
    <n v="167039"/>
    <x v="2"/>
    <x v="0"/>
    <m/>
    <x v="4"/>
    <x v="392"/>
  </r>
  <r>
    <s v="2024-10-20"/>
    <x v="9"/>
    <m/>
    <x v="3"/>
    <x v="0"/>
    <n v="20392"/>
    <x v="5"/>
    <x v="0"/>
    <m/>
    <x v="1"/>
    <x v="393"/>
  </r>
  <r>
    <s v="2024-10-20"/>
    <x v="9"/>
    <m/>
    <x v="4"/>
    <x v="0"/>
    <n v="10810"/>
    <x v="4"/>
    <x v="0"/>
    <m/>
    <x v="2"/>
    <x v="394"/>
  </r>
  <r>
    <s v="2024-10-22"/>
    <x v="9"/>
    <m/>
    <x v="0"/>
    <x v="0"/>
    <n v="18325"/>
    <x v="0"/>
    <x v="0"/>
    <m/>
    <x v="3"/>
    <x v="395"/>
  </r>
  <r>
    <s v="2024-10-22"/>
    <x v="9"/>
    <s v="Business"/>
    <x v="2"/>
    <x v="1"/>
    <n v="133227"/>
    <x v="2"/>
    <x v="0"/>
    <m/>
    <x v="6"/>
    <x v="396"/>
  </r>
  <r>
    <s v="2024-10-23"/>
    <x v="9"/>
    <m/>
    <x v="5"/>
    <x v="0"/>
    <n v="4156"/>
    <x v="1"/>
    <x v="0"/>
    <m/>
    <x v="2"/>
    <x v="397"/>
  </r>
  <r>
    <s v="2024-10-23"/>
    <x v="9"/>
    <s v="Dividends"/>
    <x v="2"/>
    <x v="1"/>
    <n v="166023"/>
    <x v="5"/>
    <x v="0"/>
    <m/>
    <x v="0"/>
    <x v="398"/>
  </r>
  <r>
    <s v="2024-10-23"/>
    <x v="9"/>
    <m/>
    <x v="5"/>
    <x v="0"/>
    <n v="5168"/>
    <x v="0"/>
    <x v="0"/>
    <m/>
    <x v="9"/>
    <x v="399"/>
  </r>
  <r>
    <s v="2024-10-27"/>
    <x v="9"/>
    <m/>
    <x v="2"/>
    <x v="2"/>
    <n v="104800"/>
    <x v="4"/>
    <x v="5"/>
    <n v="9.83"/>
    <x v="8"/>
    <x v="400"/>
  </r>
  <r>
    <s v="2024-10-28"/>
    <x v="9"/>
    <s v="Dividends"/>
    <x v="2"/>
    <x v="1"/>
    <n v="78780"/>
    <x v="5"/>
    <x v="0"/>
    <m/>
    <x v="0"/>
    <x v="401"/>
  </r>
  <r>
    <s v="2024-10-28"/>
    <x v="9"/>
    <m/>
    <x v="0"/>
    <x v="0"/>
    <n v="3549"/>
    <x v="4"/>
    <x v="0"/>
    <m/>
    <x v="8"/>
    <x v="402"/>
  </r>
  <r>
    <s v="2024-10-29"/>
    <x v="9"/>
    <s v="Business"/>
    <x v="2"/>
    <x v="1"/>
    <n v="75298"/>
    <x v="3"/>
    <x v="0"/>
    <m/>
    <x v="0"/>
    <x v="403"/>
  </r>
  <r>
    <s v="2024-10-29"/>
    <x v="9"/>
    <m/>
    <x v="3"/>
    <x v="0"/>
    <n v="16716"/>
    <x v="3"/>
    <x v="0"/>
    <m/>
    <x v="8"/>
    <x v="404"/>
  </r>
  <r>
    <s v="2024-10-29"/>
    <x v="9"/>
    <s v="Bonus"/>
    <x v="2"/>
    <x v="1"/>
    <n v="121063"/>
    <x v="3"/>
    <x v="0"/>
    <m/>
    <x v="6"/>
    <x v="405"/>
  </r>
  <r>
    <s v="2024-10-31"/>
    <x v="9"/>
    <m/>
    <x v="7"/>
    <x v="0"/>
    <n v="797"/>
    <x v="3"/>
    <x v="0"/>
    <m/>
    <x v="2"/>
    <x v="406"/>
  </r>
  <r>
    <s v="2024-11-01"/>
    <x v="10"/>
    <m/>
    <x v="1"/>
    <x v="0"/>
    <n v="5183"/>
    <x v="5"/>
    <x v="0"/>
    <m/>
    <x v="9"/>
    <x v="407"/>
  </r>
  <r>
    <s v="2024-11-01"/>
    <x v="10"/>
    <m/>
    <x v="2"/>
    <x v="2"/>
    <n v="73195"/>
    <x v="5"/>
    <x v="4"/>
    <n v="10.64"/>
    <x v="2"/>
    <x v="408"/>
  </r>
  <r>
    <s v="2024-11-01"/>
    <x v="10"/>
    <m/>
    <x v="8"/>
    <x v="0"/>
    <n v="682"/>
    <x v="2"/>
    <x v="0"/>
    <m/>
    <x v="7"/>
    <x v="409"/>
  </r>
  <r>
    <s v="2024-11-02"/>
    <x v="10"/>
    <s v="Interest Income"/>
    <x v="2"/>
    <x v="1"/>
    <n v="24103"/>
    <x v="2"/>
    <x v="0"/>
    <m/>
    <x v="0"/>
    <x v="410"/>
  </r>
  <r>
    <s v="2024-11-02"/>
    <x v="10"/>
    <m/>
    <x v="2"/>
    <x v="2"/>
    <n v="92289"/>
    <x v="2"/>
    <x v="5"/>
    <n v="15.61"/>
    <x v="1"/>
    <x v="411"/>
  </r>
  <r>
    <s v="2024-11-03"/>
    <x v="10"/>
    <m/>
    <x v="2"/>
    <x v="2"/>
    <n v="94003"/>
    <x v="4"/>
    <x v="1"/>
    <n v="24.87"/>
    <x v="5"/>
    <x v="412"/>
  </r>
  <r>
    <s v="2024-11-03"/>
    <x v="10"/>
    <m/>
    <x v="2"/>
    <x v="2"/>
    <n v="74170"/>
    <x v="0"/>
    <x v="1"/>
    <n v="-7.21"/>
    <x v="3"/>
    <x v="413"/>
  </r>
  <r>
    <s v="2024-11-04"/>
    <x v="10"/>
    <m/>
    <x v="7"/>
    <x v="0"/>
    <n v="399"/>
    <x v="3"/>
    <x v="0"/>
    <m/>
    <x v="2"/>
    <x v="414"/>
  </r>
  <r>
    <s v="2024-11-04"/>
    <x v="10"/>
    <s v="Freelancing"/>
    <x v="2"/>
    <x v="1"/>
    <n v="31585"/>
    <x v="1"/>
    <x v="0"/>
    <m/>
    <x v="2"/>
    <x v="415"/>
  </r>
  <r>
    <s v="2024-11-06"/>
    <x v="10"/>
    <s v="Rental Income"/>
    <x v="2"/>
    <x v="1"/>
    <n v="50730"/>
    <x v="5"/>
    <x v="0"/>
    <m/>
    <x v="9"/>
    <x v="416"/>
  </r>
  <r>
    <s v="2024-11-08"/>
    <x v="10"/>
    <s v="Business"/>
    <x v="2"/>
    <x v="1"/>
    <n v="52056"/>
    <x v="2"/>
    <x v="0"/>
    <m/>
    <x v="2"/>
    <x v="417"/>
  </r>
  <r>
    <s v="2024-11-08"/>
    <x v="10"/>
    <m/>
    <x v="8"/>
    <x v="0"/>
    <n v="9346"/>
    <x v="2"/>
    <x v="0"/>
    <m/>
    <x v="5"/>
    <x v="418"/>
  </r>
  <r>
    <s v="2024-11-08"/>
    <x v="10"/>
    <m/>
    <x v="0"/>
    <x v="0"/>
    <n v="5444"/>
    <x v="0"/>
    <x v="0"/>
    <m/>
    <x v="4"/>
    <x v="419"/>
  </r>
  <r>
    <s v="2024-11-11"/>
    <x v="10"/>
    <s v="Rental Income"/>
    <x v="2"/>
    <x v="1"/>
    <n v="145358"/>
    <x v="3"/>
    <x v="0"/>
    <m/>
    <x v="8"/>
    <x v="420"/>
  </r>
  <r>
    <s v="2024-11-11"/>
    <x v="10"/>
    <m/>
    <x v="1"/>
    <x v="0"/>
    <n v="33053"/>
    <x v="4"/>
    <x v="0"/>
    <m/>
    <x v="9"/>
    <x v="421"/>
  </r>
  <r>
    <s v="2024-11-12"/>
    <x v="10"/>
    <m/>
    <x v="2"/>
    <x v="2"/>
    <n v="30430"/>
    <x v="2"/>
    <x v="4"/>
    <n v="0.82"/>
    <x v="3"/>
    <x v="422"/>
  </r>
  <r>
    <s v="2024-11-13"/>
    <x v="10"/>
    <m/>
    <x v="1"/>
    <x v="0"/>
    <n v="17601"/>
    <x v="0"/>
    <x v="0"/>
    <m/>
    <x v="1"/>
    <x v="423"/>
  </r>
  <r>
    <s v="2024-11-14"/>
    <x v="10"/>
    <m/>
    <x v="0"/>
    <x v="0"/>
    <n v="3354"/>
    <x v="1"/>
    <x v="0"/>
    <m/>
    <x v="8"/>
    <x v="424"/>
  </r>
  <r>
    <s v="2024-11-15"/>
    <x v="10"/>
    <m/>
    <x v="6"/>
    <x v="0"/>
    <n v="11447"/>
    <x v="1"/>
    <x v="0"/>
    <m/>
    <x v="5"/>
    <x v="425"/>
  </r>
  <r>
    <s v="2024-11-16"/>
    <x v="10"/>
    <m/>
    <x v="5"/>
    <x v="0"/>
    <n v="3266"/>
    <x v="1"/>
    <x v="0"/>
    <m/>
    <x v="3"/>
    <x v="426"/>
  </r>
  <r>
    <s v="2024-11-16"/>
    <x v="10"/>
    <s v="Freelancing"/>
    <x v="2"/>
    <x v="1"/>
    <n v="129327"/>
    <x v="5"/>
    <x v="0"/>
    <m/>
    <x v="4"/>
    <x v="427"/>
  </r>
  <r>
    <s v="2024-11-16"/>
    <x v="10"/>
    <m/>
    <x v="7"/>
    <x v="0"/>
    <n v="2282"/>
    <x v="0"/>
    <x v="0"/>
    <m/>
    <x v="3"/>
    <x v="428"/>
  </r>
  <r>
    <s v="2024-11-17"/>
    <x v="10"/>
    <m/>
    <x v="0"/>
    <x v="0"/>
    <n v="6981"/>
    <x v="3"/>
    <x v="0"/>
    <m/>
    <x v="7"/>
    <x v="429"/>
  </r>
  <r>
    <s v="2024-11-18"/>
    <x v="10"/>
    <s v="Bonus"/>
    <x v="2"/>
    <x v="1"/>
    <n v="118712"/>
    <x v="4"/>
    <x v="0"/>
    <m/>
    <x v="3"/>
    <x v="430"/>
  </r>
  <r>
    <s v="2024-11-19"/>
    <x v="10"/>
    <m/>
    <x v="8"/>
    <x v="0"/>
    <n v="8962"/>
    <x v="2"/>
    <x v="0"/>
    <m/>
    <x v="6"/>
    <x v="431"/>
  </r>
  <r>
    <s v="2024-11-19"/>
    <x v="10"/>
    <m/>
    <x v="5"/>
    <x v="0"/>
    <n v="2255"/>
    <x v="2"/>
    <x v="0"/>
    <m/>
    <x v="0"/>
    <x v="432"/>
  </r>
  <r>
    <s v="2024-11-19"/>
    <x v="10"/>
    <m/>
    <x v="6"/>
    <x v="0"/>
    <n v="20217"/>
    <x v="1"/>
    <x v="0"/>
    <m/>
    <x v="7"/>
    <x v="433"/>
  </r>
  <r>
    <s v="2024-11-20"/>
    <x v="10"/>
    <m/>
    <x v="1"/>
    <x v="0"/>
    <n v="31528"/>
    <x v="4"/>
    <x v="0"/>
    <m/>
    <x v="7"/>
    <x v="434"/>
  </r>
  <r>
    <s v="2024-11-20"/>
    <x v="10"/>
    <m/>
    <x v="5"/>
    <x v="0"/>
    <n v="2557"/>
    <x v="0"/>
    <x v="0"/>
    <m/>
    <x v="0"/>
    <x v="435"/>
  </r>
  <r>
    <s v="2024-11-20"/>
    <x v="10"/>
    <m/>
    <x v="6"/>
    <x v="0"/>
    <n v="8340"/>
    <x v="5"/>
    <x v="0"/>
    <m/>
    <x v="3"/>
    <x v="436"/>
  </r>
  <r>
    <s v="2024-11-20"/>
    <x v="10"/>
    <s v="Interest Income"/>
    <x v="2"/>
    <x v="1"/>
    <n v="163997"/>
    <x v="3"/>
    <x v="0"/>
    <m/>
    <x v="4"/>
    <x v="437"/>
  </r>
  <r>
    <s v="2024-11-20"/>
    <x v="10"/>
    <m/>
    <x v="2"/>
    <x v="2"/>
    <n v="46523"/>
    <x v="3"/>
    <x v="1"/>
    <n v="19.64"/>
    <x v="1"/>
    <x v="438"/>
  </r>
  <r>
    <s v="2024-11-21"/>
    <x v="10"/>
    <m/>
    <x v="2"/>
    <x v="2"/>
    <n v="48026"/>
    <x v="0"/>
    <x v="1"/>
    <n v="24.3"/>
    <x v="4"/>
    <x v="439"/>
  </r>
  <r>
    <s v="2024-11-22"/>
    <x v="10"/>
    <m/>
    <x v="8"/>
    <x v="0"/>
    <n v="7032"/>
    <x v="1"/>
    <x v="0"/>
    <m/>
    <x v="4"/>
    <x v="440"/>
  </r>
  <r>
    <s v="2024-11-22"/>
    <x v="10"/>
    <s v="Rental Income"/>
    <x v="2"/>
    <x v="1"/>
    <n v="93442"/>
    <x v="2"/>
    <x v="0"/>
    <m/>
    <x v="4"/>
    <x v="441"/>
  </r>
  <r>
    <s v="2024-11-22"/>
    <x v="10"/>
    <s v="Salary"/>
    <x v="2"/>
    <x v="1"/>
    <n v="45168"/>
    <x v="0"/>
    <x v="0"/>
    <m/>
    <x v="4"/>
    <x v="442"/>
  </r>
  <r>
    <s v="2024-11-22"/>
    <x v="10"/>
    <m/>
    <x v="7"/>
    <x v="0"/>
    <n v="3470"/>
    <x v="5"/>
    <x v="0"/>
    <m/>
    <x v="6"/>
    <x v="443"/>
  </r>
  <r>
    <s v="2024-11-22"/>
    <x v="10"/>
    <m/>
    <x v="2"/>
    <x v="2"/>
    <n v="58903"/>
    <x v="4"/>
    <x v="4"/>
    <n v="-1.96"/>
    <x v="9"/>
    <x v="444"/>
  </r>
  <r>
    <s v="2024-11-24"/>
    <x v="10"/>
    <s v="Bonus"/>
    <x v="2"/>
    <x v="1"/>
    <n v="173591"/>
    <x v="4"/>
    <x v="0"/>
    <m/>
    <x v="8"/>
    <x v="445"/>
  </r>
  <r>
    <s v="2024-11-24"/>
    <x v="10"/>
    <m/>
    <x v="6"/>
    <x v="0"/>
    <n v="18970"/>
    <x v="2"/>
    <x v="0"/>
    <m/>
    <x v="7"/>
    <x v="446"/>
  </r>
  <r>
    <s v="2024-11-25"/>
    <x v="10"/>
    <m/>
    <x v="0"/>
    <x v="0"/>
    <n v="15578"/>
    <x v="2"/>
    <x v="0"/>
    <m/>
    <x v="4"/>
    <x v="447"/>
  </r>
  <r>
    <s v="2024-11-26"/>
    <x v="10"/>
    <m/>
    <x v="2"/>
    <x v="2"/>
    <n v="42436"/>
    <x v="0"/>
    <x v="1"/>
    <n v="-8.51"/>
    <x v="3"/>
    <x v="448"/>
  </r>
  <r>
    <s v="2024-11-27"/>
    <x v="10"/>
    <m/>
    <x v="2"/>
    <x v="2"/>
    <n v="19090"/>
    <x v="3"/>
    <x v="3"/>
    <n v="1.49"/>
    <x v="9"/>
    <x v="449"/>
  </r>
  <r>
    <s v="2024-11-27"/>
    <x v="10"/>
    <m/>
    <x v="2"/>
    <x v="2"/>
    <n v="10480"/>
    <x v="2"/>
    <x v="6"/>
    <n v="9.6300000000000008"/>
    <x v="8"/>
    <x v="450"/>
  </r>
  <r>
    <s v="2024-11-27"/>
    <x v="10"/>
    <m/>
    <x v="4"/>
    <x v="0"/>
    <n v="2324"/>
    <x v="0"/>
    <x v="0"/>
    <m/>
    <x v="8"/>
    <x v="451"/>
  </r>
  <r>
    <s v="2024-11-29"/>
    <x v="10"/>
    <s v="Salary"/>
    <x v="2"/>
    <x v="1"/>
    <n v="83774"/>
    <x v="4"/>
    <x v="0"/>
    <m/>
    <x v="3"/>
    <x v="452"/>
  </r>
  <r>
    <s v="2024-11-30"/>
    <x v="10"/>
    <m/>
    <x v="0"/>
    <x v="0"/>
    <n v="9417"/>
    <x v="3"/>
    <x v="0"/>
    <m/>
    <x v="9"/>
    <x v="453"/>
  </r>
  <r>
    <s v="2024-11-30"/>
    <x v="10"/>
    <s v="Business"/>
    <x v="2"/>
    <x v="1"/>
    <n v="133109"/>
    <x v="3"/>
    <x v="0"/>
    <m/>
    <x v="1"/>
    <x v="454"/>
  </r>
  <r>
    <s v="2024-11-30"/>
    <x v="10"/>
    <m/>
    <x v="3"/>
    <x v="0"/>
    <n v="5519"/>
    <x v="0"/>
    <x v="0"/>
    <m/>
    <x v="2"/>
    <x v="455"/>
  </r>
  <r>
    <s v="2024-12-01"/>
    <x v="11"/>
    <m/>
    <x v="2"/>
    <x v="2"/>
    <n v="19571"/>
    <x v="3"/>
    <x v="2"/>
    <n v="12.32"/>
    <x v="9"/>
    <x v="456"/>
  </r>
  <r>
    <s v="2024-12-01"/>
    <x v="11"/>
    <m/>
    <x v="2"/>
    <x v="2"/>
    <n v="20235"/>
    <x v="4"/>
    <x v="4"/>
    <n v="14.25"/>
    <x v="0"/>
    <x v="457"/>
  </r>
  <r>
    <s v="2024-12-02"/>
    <x v="11"/>
    <m/>
    <x v="1"/>
    <x v="0"/>
    <n v="41750"/>
    <x v="5"/>
    <x v="0"/>
    <m/>
    <x v="8"/>
    <x v="458"/>
  </r>
  <r>
    <s v="2024-12-02"/>
    <x v="11"/>
    <m/>
    <x v="5"/>
    <x v="0"/>
    <n v="5880"/>
    <x v="2"/>
    <x v="0"/>
    <m/>
    <x v="5"/>
    <x v="459"/>
  </r>
  <r>
    <s v="2024-12-03"/>
    <x v="11"/>
    <m/>
    <x v="0"/>
    <x v="0"/>
    <n v="11886"/>
    <x v="4"/>
    <x v="0"/>
    <m/>
    <x v="2"/>
    <x v="460"/>
  </r>
  <r>
    <s v="2024-12-03"/>
    <x v="11"/>
    <m/>
    <x v="7"/>
    <x v="0"/>
    <n v="1221"/>
    <x v="4"/>
    <x v="0"/>
    <m/>
    <x v="4"/>
    <x v="461"/>
  </r>
  <r>
    <s v="2024-12-04"/>
    <x v="11"/>
    <m/>
    <x v="1"/>
    <x v="0"/>
    <n v="18754"/>
    <x v="5"/>
    <x v="0"/>
    <m/>
    <x v="9"/>
    <x v="462"/>
  </r>
  <r>
    <s v="2024-12-05"/>
    <x v="11"/>
    <m/>
    <x v="2"/>
    <x v="2"/>
    <n v="19118"/>
    <x v="5"/>
    <x v="3"/>
    <n v="-7.32"/>
    <x v="6"/>
    <x v="463"/>
  </r>
  <r>
    <s v="2024-12-05"/>
    <x v="11"/>
    <s v="Bonus"/>
    <x v="2"/>
    <x v="1"/>
    <n v="28274"/>
    <x v="1"/>
    <x v="0"/>
    <m/>
    <x v="0"/>
    <x v="464"/>
  </r>
  <r>
    <s v="2024-12-07"/>
    <x v="11"/>
    <m/>
    <x v="5"/>
    <x v="0"/>
    <n v="1523"/>
    <x v="4"/>
    <x v="0"/>
    <m/>
    <x v="3"/>
    <x v="465"/>
  </r>
  <r>
    <s v="2024-12-07"/>
    <x v="11"/>
    <s v="Freelancing"/>
    <x v="2"/>
    <x v="1"/>
    <n v="163000"/>
    <x v="1"/>
    <x v="0"/>
    <m/>
    <x v="8"/>
    <x v="466"/>
  </r>
  <r>
    <s v="2024-12-09"/>
    <x v="11"/>
    <s v="Dividends"/>
    <x v="2"/>
    <x v="1"/>
    <n v="113638"/>
    <x v="4"/>
    <x v="0"/>
    <m/>
    <x v="9"/>
    <x v="467"/>
  </r>
  <r>
    <s v="2024-12-10"/>
    <x v="11"/>
    <s v="Interest Income"/>
    <x v="2"/>
    <x v="1"/>
    <n v="100200"/>
    <x v="1"/>
    <x v="0"/>
    <m/>
    <x v="3"/>
    <x v="468"/>
  </r>
  <r>
    <s v="2024-12-12"/>
    <x v="11"/>
    <m/>
    <x v="2"/>
    <x v="2"/>
    <n v="14869"/>
    <x v="1"/>
    <x v="4"/>
    <n v="-8.9499999999999993"/>
    <x v="2"/>
    <x v="469"/>
  </r>
  <r>
    <s v="2024-12-13"/>
    <x v="11"/>
    <m/>
    <x v="4"/>
    <x v="0"/>
    <n v="2647"/>
    <x v="2"/>
    <x v="0"/>
    <m/>
    <x v="2"/>
    <x v="470"/>
  </r>
  <r>
    <s v="2024-12-13"/>
    <x v="11"/>
    <m/>
    <x v="2"/>
    <x v="2"/>
    <n v="65387"/>
    <x v="0"/>
    <x v="4"/>
    <n v="23.55"/>
    <x v="3"/>
    <x v="471"/>
  </r>
  <r>
    <s v="2024-12-16"/>
    <x v="11"/>
    <s v="Bonus"/>
    <x v="2"/>
    <x v="1"/>
    <n v="57180"/>
    <x v="4"/>
    <x v="0"/>
    <m/>
    <x v="8"/>
    <x v="472"/>
  </r>
  <r>
    <s v="2024-12-18"/>
    <x v="11"/>
    <s v="Interest Income"/>
    <x v="2"/>
    <x v="1"/>
    <n v="159520"/>
    <x v="4"/>
    <x v="0"/>
    <m/>
    <x v="0"/>
    <x v="473"/>
  </r>
  <r>
    <s v="2024-12-18"/>
    <x v="11"/>
    <m/>
    <x v="7"/>
    <x v="0"/>
    <n v="432"/>
    <x v="3"/>
    <x v="0"/>
    <m/>
    <x v="6"/>
    <x v="474"/>
  </r>
  <r>
    <s v="2024-12-21"/>
    <x v="11"/>
    <m/>
    <x v="5"/>
    <x v="0"/>
    <n v="1567"/>
    <x v="5"/>
    <x v="0"/>
    <m/>
    <x v="5"/>
    <x v="475"/>
  </r>
  <r>
    <s v="2024-12-22"/>
    <x v="11"/>
    <m/>
    <x v="1"/>
    <x v="0"/>
    <n v="52397"/>
    <x v="1"/>
    <x v="0"/>
    <m/>
    <x v="7"/>
    <x v="476"/>
  </r>
  <r>
    <s v="2024-12-22"/>
    <x v="11"/>
    <m/>
    <x v="2"/>
    <x v="2"/>
    <n v="59594"/>
    <x v="0"/>
    <x v="4"/>
    <n v="25"/>
    <x v="1"/>
    <x v="477"/>
  </r>
  <r>
    <s v="2024-12-24"/>
    <x v="11"/>
    <m/>
    <x v="5"/>
    <x v="0"/>
    <n v="6335"/>
    <x v="4"/>
    <x v="0"/>
    <m/>
    <x v="8"/>
    <x v="478"/>
  </r>
  <r>
    <s v="2024-12-24"/>
    <x v="11"/>
    <m/>
    <x v="1"/>
    <x v="0"/>
    <n v="41840"/>
    <x v="1"/>
    <x v="0"/>
    <m/>
    <x v="3"/>
    <x v="479"/>
  </r>
  <r>
    <s v="2024-12-25"/>
    <x v="11"/>
    <m/>
    <x v="2"/>
    <x v="2"/>
    <n v="5581"/>
    <x v="4"/>
    <x v="6"/>
    <n v="-4.3499999999999996"/>
    <x v="8"/>
    <x v="480"/>
  </r>
  <r>
    <s v="2024-12-28"/>
    <x v="11"/>
    <m/>
    <x v="8"/>
    <x v="0"/>
    <n v="6811"/>
    <x v="0"/>
    <x v="0"/>
    <m/>
    <x v="9"/>
    <x v="481"/>
  </r>
  <r>
    <s v="2024-12-29"/>
    <x v="11"/>
    <s v="Business"/>
    <x v="2"/>
    <x v="1"/>
    <n v="33717"/>
    <x v="2"/>
    <x v="0"/>
    <m/>
    <x v="5"/>
    <x v="482"/>
  </r>
  <r>
    <s v="2024-12-29"/>
    <x v="11"/>
    <m/>
    <x v="2"/>
    <x v="2"/>
    <n v="18946"/>
    <x v="4"/>
    <x v="6"/>
    <n v="7.45"/>
    <x v="8"/>
    <x v="483"/>
  </r>
  <r>
    <s v="2024-12-30"/>
    <x v="11"/>
    <m/>
    <x v="0"/>
    <x v="0"/>
    <n v="14450"/>
    <x v="1"/>
    <x v="0"/>
    <m/>
    <x v="0"/>
    <x v="484"/>
  </r>
  <r>
    <s v="2024-12-30"/>
    <x v="11"/>
    <s v="Business"/>
    <x v="2"/>
    <x v="1"/>
    <n v="111228"/>
    <x v="2"/>
    <x v="0"/>
    <m/>
    <x v="1"/>
    <x v="485"/>
  </r>
  <r>
    <s v="2024-12-31"/>
    <x v="11"/>
    <m/>
    <x v="8"/>
    <x v="0"/>
    <n v="4450"/>
    <x v="4"/>
    <x v="0"/>
    <m/>
    <x v="8"/>
    <x v="486"/>
  </r>
  <r>
    <s v="2024-12-31"/>
    <x v="11"/>
    <s v="Rental Income"/>
    <x v="2"/>
    <x v="1"/>
    <n v="60967"/>
    <x v="3"/>
    <x v="0"/>
    <m/>
    <x v="9"/>
    <x v="487"/>
  </r>
  <r>
    <s v="2024-12-31"/>
    <x v="11"/>
    <s v="Dividends"/>
    <x v="2"/>
    <x v="1"/>
    <n v="76481"/>
    <x v="0"/>
    <x v="0"/>
    <m/>
    <x v="9"/>
    <x v="488"/>
  </r>
  <r>
    <s v="2025-01-01"/>
    <x v="0"/>
    <m/>
    <x v="3"/>
    <x v="0"/>
    <n v="19795"/>
    <x v="5"/>
    <x v="0"/>
    <m/>
    <x v="6"/>
    <x v="489"/>
  </r>
  <r>
    <s v="2025-01-01"/>
    <x v="0"/>
    <m/>
    <x v="0"/>
    <x v="0"/>
    <n v="3711"/>
    <x v="1"/>
    <x v="0"/>
    <m/>
    <x v="5"/>
    <x v="490"/>
  </r>
  <r>
    <s v="2025-01-02"/>
    <x v="0"/>
    <m/>
    <x v="2"/>
    <x v="2"/>
    <n v="22895"/>
    <x v="3"/>
    <x v="4"/>
    <n v="-6.61"/>
    <x v="7"/>
    <x v="491"/>
  </r>
  <r>
    <s v="2025-01-02"/>
    <x v="0"/>
    <m/>
    <x v="2"/>
    <x v="2"/>
    <n v="42377"/>
    <x v="4"/>
    <x v="3"/>
    <n v="22.33"/>
    <x v="7"/>
    <x v="492"/>
  </r>
  <r>
    <s v="2025-01-02"/>
    <x v="0"/>
    <m/>
    <x v="1"/>
    <x v="0"/>
    <n v="37154"/>
    <x v="0"/>
    <x v="0"/>
    <m/>
    <x v="5"/>
    <x v="493"/>
  </r>
  <r>
    <s v="2025-01-03"/>
    <x v="0"/>
    <m/>
    <x v="6"/>
    <x v="0"/>
    <n v="16683"/>
    <x v="0"/>
    <x v="0"/>
    <m/>
    <x v="5"/>
    <x v="494"/>
  </r>
  <r>
    <s v="2025-01-03"/>
    <x v="0"/>
    <s v="Salary"/>
    <x v="2"/>
    <x v="1"/>
    <n v="56273"/>
    <x v="0"/>
    <x v="0"/>
    <m/>
    <x v="9"/>
    <x v="495"/>
  </r>
  <r>
    <s v="2025-01-03"/>
    <x v="0"/>
    <m/>
    <x v="5"/>
    <x v="0"/>
    <n v="3019"/>
    <x v="0"/>
    <x v="0"/>
    <m/>
    <x v="2"/>
    <x v="496"/>
  </r>
  <r>
    <s v="2025-01-03"/>
    <x v="0"/>
    <m/>
    <x v="2"/>
    <x v="2"/>
    <n v="57047"/>
    <x v="0"/>
    <x v="4"/>
    <n v="-14.99"/>
    <x v="9"/>
    <x v="497"/>
  </r>
  <r>
    <s v="2025-01-04"/>
    <x v="0"/>
    <s v="Salary"/>
    <x v="2"/>
    <x v="1"/>
    <n v="155020"/>
    <x v="1"/>
    <x v="0"/>
    <m/>
    <x v="9"/>
    <x v="498"/>
  </r>
  <r>
    <s v="2025-01-05"/>
    <x v="0"/>
    <m/>
    <x v="6"/>
    <x v="0"/>
    <n v="21171"/>
    <x v="1"/>
    <x v="0"/>
    <m/>
    <x v="1"/>
    <x v="499"/>
  </r>
  <r>
    <s v="2025-01-05"/>
    <x v="0"/>
    <m/>
    <x v="5"/>
    <x v="0"/>
    <n v="1733"/>
    <x v="2"/>
    <x v="0"/>
    <m/>
    <x v="9"/>
    <x v="500"/>
  </r>
  <r>
    <s v="2025-01-06"/>
    <x v="0"/>
    <s v="Dividends"/>
    <x v="2"/>
    <x v="1"/>
    <n v="111294"/>
    <x v="2"/>
    <x v="0"/>
    <m/>
    <x v="4"/>
    <x v="501"/>
  </r>
  <r>
    <s v="2025-01-06"/>
    <x v="0"/>
    <m/>
    <x v="3"/>
    <x v="0"/>
    <n v="11697"/>
    <x v="3"/>
    <x v="0"/>
    <m/>
    <x v="1"/>
    <x v="502"/>
  </r>
  <r>
    <s v="2025-01-07"/>
    <x v="0"/>
    <m/>
    <x v="4"/>
    <x v="0"/>
    <n v="810"/>
    <x v="1"/>
    <x v="0"/>
    <m/>
    <x v="0"/>
    <x v="503"/>
  </r>
  <r>
    <s v="2025-01-07"/>
    <x v="0"/>
    <m/>
    <x v="3"/>
    <x v="0"/>
    <n v="11008"/>
    <x v="4"/>
    <x v="0"/>
    <m/>
    <x v="8"/>
    <x v="504"/>
  </r>
  <r>
    <s v="2025-01-08"/>
    <x v="0"/>
    <s v="Rental Income"/>
    <x v="2"/>
    <x v="1"/>
    <n v="67376"/>
    <x v="2"/>
    <x v="0"/>
    <m/>
    <x v="7"/>
    <x v="505"/>
  </r>
  <r>
    <s v="2025-01-08"/>
    <x v="0"/>
    <m/>
    <x v="2"/>
    <x v="2"/>
    <n v="24086"/>
    <x v="3"/>
    <x v="6"/>
    <n v="25.5"/>
    <x v="0"/>
    <x v="506"/>
  </r>
  <r>
    <s v="2025-01-09"/>
    <x v="0"/>
    <m/>
    <x v="8"/>
    <x v="0"/>
    <n v="1241"/>
    <x v="3"/>
    <x v="0"/>
    <m/>
    <x v="6"/>
    <x v="507"/>
  </r>
  <r>
    <s v="2025-01-11"/>
    <x v="0"/>
    <m/>
    <x v="2"/>
    <x v="2"/>
    <n v="79919"/>
    <x v="4"/>
    <x v="5"/>
    <n v="19.45"/>
    <x v="2"/>
    <x v="508"/>
  </r>
  <r>
    <s v="2025-01-11"/>
    <x v="0"/>
    <m/>
    <x v="3"/>
    <x v="0"/>
    <n v="4876"/>
    <x v="3"/>
    <x v="0"/>
    <m/>
    <x v="5"/>
    <x v="509"/>
  </r>
  <r>
    <s v="2025-01-12"/>
    <x v="0"/>
    <m/>
    <x v="8"/>
    <x v="0"/>
    <n v="7471"/>
    <x v="4"/>
    <x v="0"/>
    <m/>
    <x v="7"/>
    <x v="510"/>
  </r>
  <r>
    <s v="2025-01-12"/>
    <x v="0"/>
    <m/>
    <x v="2"/>
    <x v="2"/>
    <n v="44248"/>
    <x v="0"/>
    <x v="3"/>
    <n v="22.16"/>
    <x v="0"/>
    <x v="511"/>
  </r>
  <r>
    <s v="2025-01-13"/>
    <x v="0"/>
    <s v="Salary"/>
    <x v="2"/>
    <x v="1"/>
    <n v="84021"/>
    <x v="3"/>
    <x v="0"/>
    <m/>
    <x v="3"/>
    <x v="512"/>
  </r>
  <r>
    <s v="2025-01-13"/>
    <x v="0"/>
    <s v="Dividends"/>
    <x v="2"/>
    <x v="1"/>
    <n v="69204"/>
    <x v="2"/>
    <x v="0"/>
    <m/>
    <x v="4"/>
    <x v="513"/>
  </r>
  <r>
    <s v="2025-01-14"/>
    <x v="0"/>
    <s v="Salary"/>
    <x v="2"/>
    <x v="1"/>
    <n v="115748"/>
    <x v="3"/>
    <x v="0"/>
    <m/>
    <x v="0"/>
    <x v="514"/>
  </r>
  <r>
    <s v="2025-01-15"/>
    <x v="0"/>
    <m/>
    <x v="6"/>
    <x v="0"/>
    <n v="41810"/>
    <x v="0"/>
    <x v="0"/>
    <m/>
    <x v="9"/>
    <x v="515"/>
  </r>
  <r>
    <s v="2025-01-15"/>
    <x v="0"/>
    <m/>
    <x v="1"/>
    <x v="0"/>
    <n v="59859"/>
    <x v="2"/>
    <x v="0"/>
    <m/>
    <x v="9"/>
    <x v="516"/>
  </r>
  <r>
    <s v="2025-01-15"/>
    <x v="0"/>
    <m/>
    <x v="3"/>
    <x v="0"/>
    <n v="5667"/>
    <x v="3"/>
    <x v="0"/>
    <m/>
    <x v="8"/>
    <x v="517"/>
  </r>
  <r>
    <s v="2025-01-15"/>
    <x v="0"/>
    <m/>
    <x v="0"/>
    <x v="0"/>
    <n v="10898"/>
    <x v="2"/>
    <x v="0"/>
    <m/>
    <x v="1"/>
    <x v="518"/>
  </r>
  <r>
    <s v="2025-01-16"/>
    <x v="0"/>
    <m/>
    <x v="2"/>
    <x v="2"/>
    <n v="25723"/>
    <x v="2"/>
    <x v="5"/>
    <n v="10.220000000000001"/>
    <x v="7"/>
    <x v="519"/>
  </r>
  <r>
    <s v="2025-01-16"/>
    <x v="0"/>
    <m/>
    <x v="2"/>
    <x v="2"/>
    <n v="32840"/>
    <x v="3"/>
    <x v="2"/>
    <n v="2.23"/>
    <x v="9"/>
    <x v="520"/>
  </r>
  <r>
    <s v="2025-01-17"/>
    <x v="0"/>
    <m/>
    <x v="7"/>
    <x v="0"/>
    <n v="2603"/>
    <x v="5"/>
    <x v="0"/>
    <m/>
    <x v="3"/>
    <x v="521"/>
  </r>
  <r>
    <s v="2025-01-17"/>
    <x v="0"/>
    <s v="Dividends"/>
    <x v="2"/>
    <x v="1"/>
    <n v="176616"/>
    <x v="3"/>
    <x v="0"/>
    <m/>
    <x v="3"/>
    <x v="522"/>
  </r>
  <r>
    <s v="2025-01-18"/>
    <x v="0"/>
    <m/>
    <x v="2"/>
    <x v="2"/>
    <n v="63790"/>
    <x v="3"/>
    <x v="4"/>
    <n v="22.39"/>
    <x v="2"/>
    <x v="523"/>
  </r>
  <r>
    <s v="2025-01-19"/>
    <x v="0"/>
    <m/>
    <x v="6"/>
    <x v="0"/>
    <n v="34401"/>
    <x v="2"/>
    <x v="0"/>
    <m/>
    <x v="9"/>
    <x v="524"/>
  </r>
  <r>
    <s v="2025-01-19"/>
    <x v="0"/>
    <m/>
    <x v="2"/>
    <x v="2"/>
    <n v="18522"/>
    <x v="2"/>
    <x v="6"/>
    <n v="11.79"/>
    <x v="6"/>
    <x v="525"/>
  </r>
  <r>
    <s v="2025-01-20"/>
    <x v="0"/>
    <m/>
    <x v="7"/>
    <x v="0"/>
    <n v="1196"/>
    <x v="1"/>
    <x v="0"/>
    <m/>
    <x v="6"/>
    <x v="526"/>
  </r>
  <r>
    <s v="2025-01-23"/>
    <x v="0"/>
    <s v="Bonus"/>
    <x v="2"/>
    <x v="1"/>
    <n v="84521"/>
    <x v="3"/>
    <x v="0"/>
    <m/>
    <x v="9"/>
    <x v="527"/>
  </r>
  <r>
    <s v="2025-01-23"/>
    <x v="0"/>
    <m/>
    <x v="7"/>
    <x v="0"/>
    <n v="2953"/>
    <x v="4"/>
    <x v="0"/>
    <m/>
    <x v="5"/>
    <x v="528"/>
  </r>
  <r>
    <s v="2025-01-24"/>
    <x v="0"/>
    <s v="Interest Income"/>
    <x v="2"/>
    <x v="1"/>
    <n v="105165"/>
    <x v="2"/>
    <x v="0"/>
    <m/>
    <x v="9"/>
    <x v="529"/>
  </r>
  <r>
    <s v="2025-01-24"/>
    <x v="0"/>
    <s v="Dividends"/>
    <x v="2"/>
    <x v="1"/>
    <n v="110638"/>
    <x v="1"/>
    <x v="0"/>
    <m/>
    <x v="4"/>
    <x v="530"/>
  </r>
  <r>
    <s v="2025-01-24"/>
    <x v="0"/>
    <m/>
    <x v="2"/>
    <x v="2"/>
    <n v="95203"/>
    <x v="3"/>
    <x v="1"/>
    <n v="23.16"/>
    <x v="7"/>
    <x v="531"/>
  </r>
  <r>
    <s v="2025-01-27"/>
    <x v="0"/>
    <s v="Freelancing"/>
    <x v="2"/>
    <x v="1"/>
    <n v="152839"/>
    <x v="1"/>
    <x v="0"/>
    <m/>
    <x v="7"/>
    <x v="532"/>
  </r>
  <r>
    <s v="2025-01-27"/>
    <x v="0"/>
    <m/>
    <x v="5"/>
    <x v="0"/>
    <n v="1568"/>
    <x v="0"/>
    <x v="0"/>
    <m/>
    <x v="6"/>
    <x v="533"/>
  </r>
  <r>
    <s v="2025-01-28"/>
    <x v="0"/>
    <m/>
    <x v="2"/>
    <x v="2"/>
    <n v="37541"/>
    <x v="1"/>
    <x v="4"/>
    <n v="26.4"/>
    <x v="4"/>
    <x v="534"/>
  </r>
  <r>
    <s v="2025-01-29"/>
    <x v="0"/>
    <m/>
    <x v="1"/>
    <x v="0"/>
    <n v="53422"/>
    <x v="3"/>
    <x v="0"/>
    <m/>
    <x v="5"/>
    <x v="535"/>
  </r>
  <r>
    <s v="2025-01-30"/>
    <x v="0"/>
    <m/>
    <x v="4"/>
    <x v="0"/>
    <n v="8429"/>
    <x v="4"/>
    <x v="0"/>
    <m/>
    <x v="3"/>
    <x v="536"/>
  </r>
  <r>
    <s v="2025-01-30"/>
    <x v="0"/>
    <m/>
    <x v="5"/>
    <x v="0"/>
    <n v="6960"/>
    <x v="2"/>
    <x v="0"/>
    <m/>
    <x v="0"/>
    <x v="537"/>
  </r>
  <r>
    <s v="2025-01-31"/>
    <x v="0"/>
    <m/>
    <x v="8"/>
    <x v="0"/>
    <n v="11623"/>
    <x v="2"/>
    <x v="0"/>
    <m/>
    <x v="6"/>
    <x v="538"/>
  </r>
  <r>
    <s v="2025-02-01"/>
    <x v="1"/>
    <m/>
    <x v="4"/>
    <x v="0"/>
    <n v="3185"/>
    <x v="1"/>
    <x v="0"/>
    <m/>
    <x v="0"/>
    <x v="539"/>
  </r>
  <r>
    <s v="2025-02-01"/>
    <x v="1"/>
    <m/>
    <x v="1"/>
    <x v="0"/>
    <n v="58773"/>
    <x v="0"/>
    <x v="0"/>
    <m/>
    <x v="6"/>
    <x v="540"/>
  </r>
  <r>
    <s v="2025-02-04"/>
    <x v="1"/>
    <m/>
    <x v="6"/>
    <x v="0"/>
    <n v="28327"/>
    <x v="4"/>
    <x v="0"/>
    <m/>
    <x v="2"/>
    <x v="541"/>
  </r>
  <r>
    <s v="2025-02-04"/>
    <x v="1"/>
    <m/>
    <x v="2"/>
    <x v="2"/>
    <n v="18488"/>
    <x v="5"/>
    <x v="5"/>
    <n v="-7.17"/>
    <x v="0"/>
    <x v="542"/>
  </r>
  <r>
    <s v="2025-02-06"/>
    <x v="1"/>
    <m/>
    <x v="3"/>
    <x v="0"/>
    <n v="7549"/>
    <x v="2"/>
    <x v="0"/>
    <m/>
    <x v="4"/>
    <x v="543"/>
  </r>
  <r>
    <s v="2025-02-07"/>
    <x v="1"/>
    <s v="Business"/>
    <x v="2"/>
    <x v="1"/>
    <n v="36638"/>
    <x v="3"/>
    <x v="0"/>
    <m/>
    <x v="0"/>
    <x v="544"/>
  </r>
  <r>
    <s v="2025-02-09"/>
    <x v="1"/>
    <m/>
    <x v="2"/>
    <x v="2"/>
    <n v="45500"/>
    <x v="1"/>
    <x v="1"/>
    <n v="-5.47"/>
    <x v="8"/>
    <x v="545"/>
  </r>
  <r>
    <s v="2025-02-09"/>
    <x v="1"/>
    <s v="Rental Income"/>
    <x v="2"/>
    <x v="1"/>
    <n v="66727"/>
    <x v="3"/>
    <x v="0"/>
    <m/>
    <x v="0"/>
    <x v="546"/>
  </r>
  <r>
    <s v="2025-02-10"/>
    <x v="1"/>
    <m/>
    <x v="2"/>
    <x v="2"/>
    <n v="22922"/>
    <x v="4"/>
    <x v="2"/>
    <n v="10.46"/>
    <x v="1"/>
    <x v="547"/>
  </r>
  <r>
    <s v="2025-02-10"/>
    <x v="1"/>
    <s v="Bonus"/>
    <x v="2"/>
    <x v="1"/>
    <n v="135323"/>
    <x v="2"/>
    <x v="0"/>
    <m/>
    <x v="1"/>
    <x v="548"/>
  </r>
  <r>
    <s v="2025-02-10"/>
    <x v="1"/>
    <s v="Salary"/>
    <x v="2"/>
    <x v="1"/>
    <n v="139042"/>
    <x v="2"/>
    <x v="0"/>
    <m/>
    <x v="6"/>
    <x v="549"/>
  </r>
  <r>
    <s v="2025-02-11"/>
    <x v="1"/>
    <m/>
    <x v="0"/>
    <x v="0"/>
    <n v="14179"/>
    <x v="4"/>
    <x v="0"/>
    <m/>
    <x v="2"/>
    <x v="550"/>
  </r>
  <r>
    <s v="2025-02-11"/>
    <x v="1"/>
    <m/>
    <x v="2"/>
    <x v="2"/>
    <n v="16117"/>
    <x v="5"/>
    <x v="6"/>
    <n v="-7.84"/>
    <x v="0"/>
    <x v="551"/>
  </r>
  <r>
    <s v="2025-02-13"/>
    <x v="1"/>
    <s v="Dividends"/>
    <x v="2"/>
    <x v="1"/>
    <n v="16453"/>
    <x v="0"/>
    <x v="0"/>
    <m/>
    <x v="2"/>
    <x v="552"/>
  </r>
  <r>
    <s v="2025-02-13"/>
    <x v="1"/>
    <m/>
    <x v="0"/>
    <x v="0"/>
    <n v="13585"/>
    <x v="2"/>
    <x v="0"/>
    <m/>
    <x v="1"/>
    <x v="553"/>
  </r>
  <r>
    <s v="2025-02-14"/>
    <x v="1"/>
    <m/>
    <x v="6"/>
    <x v="0"/>
    <n v="24962"/>
    <x v="0"/>
    <x v="0"/>
    <m/>
    <x v="6"/>
    <x v="554"/>
  </r>
  <r>
    <s v="2025-02-15"/>
    <x v="1"/>
    <m/>
    <x v="3"/>
    <x v="0"/>
    <n v="2349"/>
    <x v="1"/>
    <x v="0"/>
    <m/>
    <x v="7"/>
    <x v="555"/>
  </r>
  <r>
    <s v="2025-02-16"/>
    <x v="1"/>
    <m/>
    <x v="2"/>
    <x v="2"/>
    <n v="32087"/>
    <x v="2"/>
    <x v="3"/>
    <n v="4.0999999999999996"/>
    <x v="3"/>
    <x v="556"/>
  </r>
  <r>
    <s v="2025-02-17"/>
    <x v="1"/>
    <s v="Interest Income"/>
    <x v="2"/>
    <x v="1"/>
    <n v="152438"/>
    <x v="2"/>
    <x v="0"/>
    <m/>
    <x v="6"/>
    <x v="557"/>
  </r>
  <r>
    <s v="2025-02-17"/>
    <x v="1"/>
    <m/>
    <x v="4"/>
    <x v="0"/>
    <n v="717"/>
    <x v="4"/>
    <x v="0"/>
    <m/>
    <x v="3"/>
    <x v="558"/>
  </r>
  <r>
    <s v="2025-02-17"/>
    <x v="1"/>
    <s v="Freelancing"/>
    <x v="2"/>
    <x v="1"/>
    <n v="49394"/>
    <x v="1"/>
    <x v="0"/>
    <m/>
    <x v="6"/>
    <x v="559"/>
  </r>
  <r>
    <s v="2025-02-19"/>
    <x v="1"/>
    <m/>
    <x v="8"/>
    <x v="0"/>
    <n v="8476"/>
    <x v="3"/>
    <x v="0"/>
    <m/>
    <x v="0"/>
    <x v="560"/>
  </r>
  <r>
    <s v="2025-02-19"/>
    <x v="1"/>
    <m/>
    <x v="7"/>
    <x v="0"/>
    <n v="3097"/>
    <x v="4"/>
    <x v="0"/>
    <m/>
    <x v="9"/>
    <x v="561"/>
  </r>
  <r>
    <s v="2025-02-20"/>
    <x v="1"/>
    <m/>
    <x v="3"/>
    <x v="0"/>
    <n v="13641"/>
    <x v="0"/>
    <x v="0"/>
    <m/>
    <x v="5"/>
    <x v="562"/>
  </r>
  <r>
    <s v="2025-02-20"/>
    <x v="1"/>
    <m/>
    <x v="6"/>
    <x v="0"/>
    <n v="40975"/>
    <x v="5"/>
    <x v="0"/>
    <m/>
    <x v="4"/>
    <x v="563"/>
  </r>
  <r>
    <s v="2025-02-22"/>
    <x v="1"/>
    <m/>
    <x v="4"/>
    <x v="0"/>
    <n v="7280"/>
    <x v="4"/>
    <x v="0"/>
    <m/>
    <x v="0"/>
    <x v="564"/>
  </r>
  <r>
    <s v="2025-02-23"/>
    <x v="1"/>
    <m/>
    <x v="2"/>
    <x v="2"/>
    <n v="22615"/>
    <x v="5"/>
    <x v="2"/>
    <n v="5.19"/>
    <x v="4"/>
    <x v="565"/>
  </r>
  <r>
    <s v="2025-02-25"/>
    <x v="1"/>
    <m/>
    <x v="1"/>
    <x v="0"/>
    <n v="57358"/>
    <x v="1"/>
    <x v="0"/>
    <m/>
    <x v="8"/>
    <x v="566"/>
  </r>
  <r>
    <s v="2025-02-26"/>
    <x v="1"/>
    <m/>
    <x v="8"/>
    <x v="0"/>
    <n v="8011"/>
    <x v="4"/>
    <x v="0"/>
    <m/>
    <x v="8"/>
    <x v="567"/>
  </r>
  <r>
    <s v="2025-02-27"/>
    <x v="1"/>
    <m/>
    <x v="1"/>
    <x v="0"/>
    <n v="27131"/>
    <x v="3"/>
    <x v="0"/>
    <m/>
    <x v="8"/>
    <x v="568"/>
  </r>
  <r>
    <s v="2025-02-27"/>
    <x v="1"/>
    <s v="Interest Income"/>
    <x v="2"/>
    <x v="1"/>
    <n v="73005"/>
    <x v="4"/>
    <x v="0"/>
    <m/>
    <x v="5"/>
    <x v="569"/>
  </r>
  <r>
    <s v="2025-02-27"/>
    <x v="1"/>
    <m/>
    <x v="6"/>
    <x v="0"/>
    <n v="44669"/>
    <x v="1"/>
    <x v="0"/>
    <m/>
    <x v="0"/>
    <x v="570"/>
  </r>
  <r>
    <s v="2025-02-28"/>
    <x v="1"/>
    <m/>
    <x v="2"/>
    <x v="2"/>
    <n v="60970"/>
    <x v="3"/>
    <x v="5"/>
    <n v="15.89"/>
    <x v="3"/>
    <x v="571"/>
  </r>
  <r>
    <s v="2025-02-28"/>
    <x v="1"/>
    <m/>
    <x v="1"/>
    <x v="0"/>
    <n v="41347"/>
    <x v="3"/>
    <x v="0"/>
    <m/>
    <x v="9"/>
    <x v="572"/>
  </r>
  <r>
    <s v="2025-02-28"/>
    <x v="1"/>
    <s v="Rental Income"/>
    <x v="2"/>
    <x v="1"/>
    <n v="113031"/>
    <x v="1"/>
    <x v="0"/>
    <m/>
    <x v="2"/>
    <x v="573"/>
  </r>
  <r>
    <s v="2025-02-28"/>
    <x v="1"/>
    <s v="Dividends"/>
    <x v="2"/>
    <x v="1"/>
    <n v="169353"/>
    <x v="0"/>
    <x v="0"/>
    <m/>
    <x v="3"/>
    <x v="574"/>
  </r>
  <r>
    <s v="2025-03-01"/>
    <x v="2"/>
    <s v="Freelancing"/>
    <x v="2"/>
    <x v="1"/>
    <n v="156402"/>
    <x v="5"/>
    <x v="0"/>
    <m/>
    <x v="7"/>
    <x v="575"/>
  </r>
  <r>
    <s v="2025-03-02"/>
    <x v="2"/>
    <m/>
    <x v="6"/>
    <x v="0"/>
    <n v="43866"/>
    <x v="5"/>
    <x v="0"/>
    <m/>
    <x v="3"/>
    <x v="576"/>
  </r>
  <r>
    <s v="2025-03-02"/>
    <x v="2"/>
    <m/>
    <x v="2"/>
    <x v="2"/>
    <n v="79572"/>
    <x v="1"/>
    <x v="4"/>
    <n v="14.17"/>
    <x v="0"/>
    <x v="577"/>
  </r>
  <r>
    <s v="2025-03-04"/>
    <x v="2"/>
    <m/>
    <x v="0"/>
    <x v="0"/>
    <n v="14162"/>
    <x v="1"/>
    <x v="0"/>
    <m/>
    <x v="3"/>
    <x v="578"/>
  </r>
  <r>
    <s v="2025-03-05"/>
    <x v="2"/>
    <m/>
    <x v="8"/>
    <x v="0"/>
    <n v="4772"/>
    <x v="1"/>
    <x v="0"/>
    <m/>
    <x v="4"/>
    <x v="579"/>
  </r>
  <r>
    <s v="2025-03-05"/>
    <x v="2"/>
    <m/>
    <x v="3"/>
    <x v="0"/>
    <n v="16498"/>
    <x v="1"/>
    <x v="0"/>
    <m/>
    <x v="9"/>
    <x v="580"/>
  </r>
  <r>
    <s v="2025-03-09"/>
    <x v="2"/>
    <m/>
    <x v="1"/>
    <x v="0"/>
    <n v="11144"/>
    <x v="1"/>
    <x v="0"/>
    <m/>
    <x v="9"/>
    <x v="581"/>
  </r>
  <r>
    <s v="2025-03-09"/>
    <x v="2"/>
    <m/>
    <x v="6"/>
    <x v="0"/>
    <n v="37430"/>
    <x v="2"/>
    <x v="0"/>
    <m/>
    <x v="3"/>
    <x v="582"/>
  </r>
  <r>
    <s v="2025-03-09"/>
    <x v="2"/>
    <m/>
    <x v="2"/>
    <x v="2"/>
    <n v="16040"/>
    <x v="3"/>
    <x v="6"/>
    <n v="-4.16"/>
    <x v="9"/>
    <x v="583"/>
  </r>
  <r>
    <s v="2025-03-12"/>
    <x v="2"/>
    <m/>
    <x v="2"/>
    <x v="2"/>
    <n v="126893"/>
    <x v="4"/>
    <x v="5"/>
    <n v="23.58"/>
    <x v="3"/>
    <x v="584"/>
  </r>
  <r>
    <s v="2025-03-12"/>
    <x v="2"/>
    <m/>
    <x v="1"/>
    <x v="0"/>
    <n v="47687"/>
    <x v="3"/>
    <x v="0"/>
    <m/>
    <x v="8"/>
    <x v="585"/>
  </r>
  <r>
    <s v="2025-03-15"/>
    <x v="2"/>
    <s v="Business"/>
    <x v="2"/>
    <x v="1"/>
    <n v="78062"/>
    <x v="2"/>
    <x v="0"/>
    <m/>
    <x v="2"/>
    <x v="586"/>
  </r>
  <r>
    <s v="2025-03-15"/>
    <x v="2"/>
    <m/>
    <x v="3"/>
    <x v="0"/>
    <n v="7243"/>
    <x v="5"/>
    <x v="0"/>
    <m/>
    <x v="8"/>
    <x v="587"/>
  </r>
  <r>
    <s v="2025-03-16"/>
    <x v="2"/>
    <s v="Business"/>
    <x v="2"/>
    <x v="1"/>
    <n v="110591"/>
    <x v="0"/>
    <x v="0"/>
    <m/>
    <x v="4"/>
    <x v="588"/>
  </r>
  <r>
    <s v="2025-03-16"/>
    <x v="2"/>
    <m/>
    <x v="2"/>
    <x v="2"/>
    <n v="44431"/>
    <x v="2"/>
    <x v="2"/>
    <n v="-1.35"/>
    <x v="7"/>
    <x v="589"/>
  </r>
  <r>
    <s v="2025-03-17"/>
    <x v="2"/>
    <m/>
    <x v="0"/>
    <x v="0"/>
    <n v="3684"/>
    <x v="0"/>
    <x v="0"/>
    <m/>
    <x v="8"/>
    <x v="590"/>
  </r>
  <r>
    <s v="2025-03-19"/>
    <x v="2"/>
    <m/>
    <x v="2"/>
    <x v="2"/>
    <n v="70028"/>
    <x v="4"/>
    <x v="4"/>
    <n v="-13.73"/>
    <x v="2"/>
    <x v="591"/>
  </r>
  <r>
    <s v="2025-03-20"/>
    <x v="2"/>
    <m/>
    <x v="4"/>
    <x v="0"/>
    <n v="2509"/>
    <x v="3"/>
    <x v="0"/>
    <m/>
    <x v="7"/>
    <x v="592"/>
  </r>
  <r>
    <s v="2025-03-21"/>
    <x v="2"/>
    <s v="Rental Income"/>
    <x v="2"/>
    <x v="1"/>
    <n v="85800"/>
    <x v="2"/>
    <x v="0"/>
    <m/>
    <x v="7"/>
    <x v="593"/>
  </r>
  <r>
    <s v="2025-03-21"/>
    <x v="2"/>
    <m/>
    <x v="5"/>
    <x v="0"/>
    <n v="3044"/>
    <x v="3"/>
    <x v="0"/>
    <m/>
    <x v="7"/>
    <x v="594"/>
  </r>
  <r>
    <s v="2025-03-22"/>
    <x v="2"/>
    <m/>
    <x v="0"/>
    <x v="0"/>
    <n v="11314"/>
    <x v="4"/>
    <x v="0"/>
    <m/>
    <x v="2"/>
    <x v="595"/>
  </r>
  <r>
    <s v="2025-03-23"/>
    <x v="2"/>
    <m/>
    <x v="2"/>
    <x v="2"/>
    <n v="117209"/>
    <x v="2"/>
    <x v="2"/>
    <n v="10.32"/>
    <x v="8"/>
    <x v="596"/>
  </r>
  <r>
    <s v="2025-03-23"/>
    <x v="2"/>
    <s v="Freelancing"/>
    <x v="2"/>
    <x v="1"/>
    <n v="133260"/>
    <x v="5"/>
    <x v="0"/>
    <m/>
    <x v="6"/>
    <x v="597"/>
  </r>
  <r>
    <s v="2025-03-24"/>
    <x v="2"/>
    <m/>
    <x v="6"/>
    <x v="0"/>
    <n v="34813"/>
    <x v="4"/>
    <x v="0"/>
    <m/>
    <x v="3"/>
    <x v="598"/>
  </r>
  <r>
    <s v="2025-03-24"/>
    <x v="2"/>
    <m/>
    <x v="7"/>
    <x v="0"/>
    <n v="2091"/>
    <x v="1"/>
    <x v="0"/>
    <m/>
    <x v="7"/>
    <x v="599"/>
  </r>
  <r>
    <s v="2025-03-24"/>
    <x v="2"/>
    <m/>
    <x v="3"/>
    <x v="0"/>
    <n v="3455"/>
    <x v="1"/>
    <x v="0"/>
    <m/>
    <x v="6"/>
    <x v="600"/>
  </r>
  <r>
    <s v="2025-03-25"/>
    <x v="2"/>
    <m/>
    <x v="4"/>
    <x v="0"/>
    <n v="6262"/>
    <x v="5"/>
    <x v="0"/>
    <m/>
    <x v="9"/>
    <x v="601"/>
  </r>
  <r>
    <s v="2025-03-25"/>
    <x v="2"/>
    <s v="Interest Income"/>
    <x v="2"/>
    <x v="1"/>
    <n v="150830"/>
    <x v="5"/>
    <x v="0"/>
    <m/>
    <x v="1"/>
    <x v="602"/>
  </r>
  <r>
    <s v="2025-03-26"/>
    <x v="2"/>
    <s v="Bonus"/>
    <x v="2"/>
    <x v="1"/>
    <n v="19023"/>
    <x v="4"/>
    <x v="0"/>
    <m/>
    <x v="5"/>
    <x v="603"/>
  </r>
  <r>
    <s v="2025-03-28"/>
    <x v="2"/>
    <m/>
    <x v="5"/>
    <x v="0"/>
    <n v="5044"/>
    <x v="0"/>
    <x v="0"/>
    <m/>
    <x v="4"/>
    <x v="604"/>
  </r>
  <r>
    <s v="2025-03-29"/>
    <x v="2"/>
    <s v="Rental Income"/>
    <x v="2"/>
    <x v="1"/>
    <n v="127415"/>
    <x v="5"/>
    <x v="0"/>
    <m/>
    <x v="0"/>
    <x v="605"/>
  </r>
  <r>
    <s v="2025-03-29"/>
    <x v="2"/>
    <m/>
    <x v="2"/>
    <x v="2"/>
    <n v="93357"/>
    <x v="5"/>
    <x v="1"/>
    <n v="15.51"/>
    <x v="0"/>
    <x v="606"/>
  </r>
  <r>
    <s v="2025-03-30"/>
    <x v="2"/>
    <s v="Business"/>
    <x v="2"/>
    <x v="1"/>
    <n v="22588"/>
    <x v="0"/>
    <x v="0"/>
    <m/>
    <x v="4"/>
    <x v="607"/>
  </r>
  <r>
    <s v="2025-03-30"/>
    <x v="2"/>
    <m/>
    <x v="1"/>
    <x v="0"/>
    <n v="16335"/>
    <x v="2"/>
    <x v="0"/>
    <m/>
    <x v="1"/>
    <x v="608"/>
  </r>
  <r>
    <s v="2025-04-01"/>
    <x v="3"/>
    <s v="Dividends"/>
    <x v="2"/>
    <x v="1"/>
    <n v="175878"/>
    <x v="2"/>
    <x v="0"/>
    <m/>
    <x v="1"/>
    <x v="609"/>
  </r>
  <r>
    <s v="2025-04-01"/>
    <x v="3"/>
    <m/>
    <x v="6"/>
    <x v="0"/>
    <n v="22554"/>
    <x v="3"/>
    <x v="0"/>
    <m/>
    <x v="9"/>
    <x v="610"/>
  </r>
  <r>
    <s v="2025-04-02"/>
    <x v="3"/>
    <s v="Interest Income"/>
    <x v="2"/>
    <x v="1"/>
    <n v="107421"/>
    <x v="2"/>
    <x v="0"/>
    <m/>
    <x v="2"/>
    <x v="611"/>
  </r>
  <r>
    <s v="2025-04-02"/>
    <x v="3"/>
    <m/>
    <x v="2"/>
    <x v="2"/>
    <n v="42555"/>
    <x v="1"/>
    <x v="4"/>
    <n v="4.9400000000000004"/>
    <x v="5"/>
    <x v="612"/>
  </r>
  <r>
    <s v="2025-04-04"/>
    <x v="3"/>
    <s v="Dividends"/>
    <x v="2"/>
    <x v="1"/>
    <n v="34521"/>
    <x v="1"/>
    <x v="0"/>
    <m/>
    <x v="5"/>
    <x v="613"/>
  </r>
  <r>
    <s v="2025-04-05"/>
    <x v="3"/>
    <s v="Freelancing"/>
    <x v="2"/>
    <x v="1"/>
    <n v="87695"/>
    <x v="2"/>
    <x v="0"/>
    <m/>
    <x v="3"/>
    <x v="614"/>
  </r>
  <r>
    <s v="2025-04-05"/>
    <x v="3"/>
    <m/>
    <x v="2"/>
    <x v="2"/>
    <n v="180875"/>
    <x v="2"/>
    <x v="5"/>
    <n v="-6.91"/>
    <x v="3"/>
    <x v="615"/>
  </r>
  <r>
    <s v="2025-04-05"/>
    <x v="3"/>
    <m/>
    <x v="2"/>
    <x v="2"/>
    <n v="37103"/>
    <x v="1"/>
    <x v="3"/>
    <n v="16.16"/>
    <x v="6"/>
    <x v="616"/>
  </r>
  <r>
    <s v="2025-04-05"/>
    <x v="3"/>
    <s v="Business"/>
    <x v="2"/>
    <x v="1"/>
    <n v="156978"/>
    <x v="5"/>
    <x v="0"/>
    <m/>
    <x v="3"/>
    <x v="617"/>
  </r>
  <r>
    <s v="2025-04-06"/>
    <x v="3"/>
    <m/>
    <x v="0"/>
    <x v="0"/>
    <n v="10667"/>
    <x v="0"/>
    <x v="0"/>
    <m/>
    <x v="2"/>
    <x v="618"/>
  </r>
  <r>
    <s v="2025-04-07"/>
    <x v="3"/>
    <m/>
    <x v="7"/>
    <x v="0"/>
    <n v="3128"/>
    <x v="4"/>
    <x v="0"/>
    <m/>
    <x v="7"/>
    <x v="249"/>
  </r>
  <r>
    <s v="2025-04-07"/>
    <x v="3"/>
    <m/>
    <x v="5"/>
    <x v="0"/>
    <n v="1182"/>
    <x v="0"/>
    <x v="0"/>
    <m/>
    <x v="5"/>
    <x v="619"/>
  </r>
  <r>
    <s v="2025-04-08"/>
    <x v="3"/>
    <m/>
    <x v="3"/>
    <x v="0"/>
    <n v="3603"/>
    <x v="3"/>
    <x v="0"/>
    <m/>
    <x v="8"/>
    <x v="620"/>
  </r>
  <r>
    <s v="2025-04-08"/>
    <x v="3"/>
    <s v="Interest Income"/>
    <x v="2"/>
    <x v="1"/>
    <n v="73129"/>
    <x v="0"/>
    <x v="0"/>
    <m/>
    <x v="4"/>
    <x v="621"/>
  </r>
  <r>
    <s v="2025-04-08"/>
    <x v="3"/>
    <m/>
    <x v="2"/>
    <x v="2"/>
    <n v="111198"/>
    <x v="4"/>
    <x v="2"/>
    <n v="10.91"/>
    <x v="7"/>
    <x v="622"/>
  </r>
  <r>
    <s v="2025-04-09"/>
    <x v="3"/>
    <m/>
    <x v="0"/>
    <x v="0"/>
    <n v="19545"/>
    <x v="4"/>
    <x v="0"/>
    <m/>
    <x v="5"/>
    <x v="623"/>
  </r>
  <r>
    <s v="2025-04-09"/>
    <x v="3"/>
    <m/>
    <x v="3"/>
    <x v="0"/>
    <n v="15399"/>
    <x v="0"/>
    <x v="0"/>
    <m/>
    <x v="9"/>
    <x v="624"/>
  </r>
  <r>
    <s v="2025-04-10"/>
    <x v="3"/>
    <m/>
    <x v="8"/>
    <x v="0"/>
    <n v="7313"/>
    <x v="4"/>
    <x v="0"/>
    <m/>
    <x v="7"/>
    <x v="625"/>
  </r>
  <r>
    <s v="2025-04-10"/>
    <x v="3"/>
    <m/>
    <x v="1"/>
    <x v="0"/>
    <n v="47966"/>
    <x v="4"/>
    <x v="0"/>
    <m/>
    <x v="4"/>
    <x v="626"/>
  </r>
  <r>
    <s v="2025-04-12"/>
    <x v="3"/>
    <m/>
    <x v="0"/>
    <x v="0"/>
    <n v="6545"/>
    <x v="2"/>
    <x v="0"/>
    <m/>
    <x v="7"/>
    <x v="627"/>
  </r>
  <r>
    <s v="2025-04-12"/>
    <x v="3"/>
    <s v="Rental Income"/>
    <x v="2"/>
    <x v="1"/>
    <n v="51642"/>
    <x v="5"/>
    <x v="0"/>
    <m/>
    <x v="0"/>
    <x v="628"/>
  </r>
  <r>
    <s v="2025-04-12"/>
    <x v="3"/>
    <m/>
    <x v="2"/>
    <x v="2"/>
    <n v="9654"/>
    <x v="0"/>
    <x v="6"/>
    <n v="4.96"/>
    <x v="5"/>
    <x v="629"/>
  </r>
  <r>
    <s v="2025-04-12"/>
    <x v="3"/>
    <m/>
    <x v="2"/>
    <x v="2"/>
    <n v="18103"/>
    <x v="3"/>
    <x v="3"/>
    <n v="7.3"/>
    <x v="6"/>
    <x v="630"/>
  </r>
  <r>
    <s v="2025-04-13"/>
    <x v="3"/>
    <s v="Interest Income"/>
    <x v="2"/>
    <x v="1"/>
    <n v="146027"/>
    <x v="2"/>
    <x v="0"/>
    <m/>
    <x v="7"/>
    <x v="631"/>
  </r>
  <r>
    <s v="2025-04-13"/>
    <x v="3"/>
    <s v="Business"/>
    <x v="2"/>
    <x v="1"/>
    <n v="16774"/>
    <x v="3"/>
    <x v="0"/>
    <m/>
    <x v="4"/>
    <x v="632"/>
  </r>
  <r>
    <s v="2025-04-13"/>
    <x v="3"/>
    <m/>
    <x v="4"/>
    <x v="0"/>
    <n v="8472"/>
    <x v="0"/>
    <x v="0"/>
    <m/>
    <x v="7"/>
    <x v="633"/>
  </r>
  <r>
    <s v="2025-04-13"/>
    <x v="3"/>
    <m/>
    <x v="2"/>
    <x v="2"/>
    <n v="68922"/>
    <x v="4"/>
    <x v="1"/>
    <n v="4.78"/>
    <x v="6"/>
    <x v="634"/>
  </r>
  <r>
    <s v="2025-04-13"/>
    <x v="3"/>
    <m/>
    <x v="7"/>
    <x v="0"/>
    <n v="312"/>
    <x v="1"/>
    <x v="0"/>
    <m/>
    <x v="7"/>
    <x v="635"/>
  </r>
  <r>
    <s v="2025-04-13"/>
    <x v="3"/>
    <m/>
    <x v="2"/>
    <x v="2"/>
    <n v="58066"/>
    <x v="2"/>
    <x v="4"/>
    <n v="18.38"/>
    <x v="2"/>
    <x v="636"/>
  </r>
  <r>
    <s v="2025-04-16"/>
    <x v="3"/>
    <s v="Interest Income"/>
    <x v="2"/>
    <x v="1"/>
    <n v="107320"/>
    <x v="1"/>
    <x v="0"/>
    <m/>
    <x v="5"/>
    <x v="637"/>
  </r>
  <r>
    <s v="2025-04-17"/>
    <x v="3"/>
    <m/>
    <x v="2"/>
    <x v="2"/>
    <n v="21181"/>
    <x v="4"/>
    <x v="1"/>
    <n v="6.43"/>
    <x v="9"/>
    <x v="45"/>
  </r>
  <r>
    <s v="2025-04-17"/>
    <x v="3"/>
    <m/>
    <x v="0"/>
    <x v="0"/>
    <n v="16779"/>
    <x v="2"/>
    <x v="0"/>
    <m/>
    <x v="2"/>
    <x v="638"/>
  </r>
  <r>
    <s v="2025-04-18"/>
    <x v="3"/>
    <s v="Salary"/>
    <x v="2"/>
    <x v="1"/>
    <n v="131164"/>
    <x v="2"/>
    <x v="0"/>
    <m/>
    <x v="8"/>
    <x v="639"/>
  </r>
  <r>
    <s v="2025-04-18"/>
    <x v="3"/>
    <m/>
    <x v="5"/>
    <x v="0"/>
    <n v="6125"/>
    <x v="0"/>
    <x v="0"/>
    <m/>
    <x v="2"/>
    <x v="640"/>
  </r>
  <r>
    <s v="2025-04-18"/>
    <x v="3"/>
    <s v="Bonus"/>
    <x v="2"/>
    <x v="1"/>
    <n v="63352"/>
    <x v="1"/>
    <x v="0"/>
    <m/>
    <x v="2"/>
    <x v="641"/>
  </r>
  <r>
    <s v="2025-04-19"/>
    <x v="3"/>
    <m/>
    <x v="2"/>
    <x v="2"/>
    <n v="118180"/>
    <x v="2"/>
    <x v="5"/>
    <n v="26.61"/>
    <x v="7"/>
    <x v="642"/>
  </r>
  <r>
    <s v="2025-04-19"/>
    <x v="3"/>
    <m/>
    <x v="4"/>
    <x v="0"/>
    <n v="5951"/>
    <x v="0"/>
    <x v="0"/>
    <m/>
    <x v="3"/>
    <x v="643"/>
  </r>
  <r>
    <s v="2025-04-19"/>
    <x v="3"/>
    <m/>
    <x v="7"/>
    <x v="0"/>
    <n v="1502"/>
    <x v="0"/>
    <x v="0"/>
    <m/>
    <x v="5"/>
    <x v="644"/>
  </r>
  <r>
    <s v="2025-04-20"/>
    <x v="3"/>
    <m/>
    <x v="8"/>
    <x v="0"/>
    <n v="7751"/>
    <x v="2"/>
    <x v="0"/>
    <m/>
    <x v="7"/>
    <x v="645"/>
  </r>
  <r>
    <s v="2025-04-20"/>
    <x v="3"/>
    <m/>
    <x v="1"/>
    <x v="0"/>
    <n v="45638"/>
    <x v="2"/>
    <x v="0"/>
    <m/>
    <x v="0"/>
    <x v="646"/>
  </r>
  <r>
    <s v="2025-04-20"/>
    <x v="3"/>
    <m/>
    <x v="6"/>
    <x v="0"/>
    <n v="10002"/>
    <x v="1"/>
    <x v="0"/>
    <m/>
    <x v="4"/>
    <x v="647"/>
  </r>
  <r>
    <s v="2025-04-21"/>
    <x v="3"/>
    <m/>
    <x v="3"/>
    <x v="0"/>
    <n v="17250"/>
    <x v="3"/>
    <x v="0"/>
    <m/>
    <x v="5"/>
    <x v="648"/>
  </r>
  <r>
    <s v="2025-04-21"/>
    <x v="3"/>
    <m/>
    <x v="2"/>
    <x v="2"/>
    <n v="72643"/>
    <x v="3"/>
    <x v="1"/>
    <n v="-8.2100000000000009"/>
    <x v="4"/>
    <x v="649"/>
  </r>
  <r>
    <s v="2025-04-21"/>
    <x v="3"/>
    <m/>
    <x v="7"/>
    <x v="0"/>
    <n v="422"/>
    <x v="3"/>
    <x v="0"/>
    <m/>
    <x v="9"/>
    <x v="650"/>
  </r>
  <r>
    <s v="2025-04-22"/>
    <x v="3"/>
    <m/>
    <x v="6"/>
    <x v="0"/>
    <n v="43122"/>
    <x v="5"/>
    <x v="0"/>
    <m/>
    <x v="1"/>
    <x v="651"/>
  </r>
  <r>
    <s v="2025-04-22"/>
    <x v="3"/>
    <m/>
    <x v="4"/>
    <x v="0"/>
    <n v="954"/>
    <x v="1"/>
    <x v="0"/>
    <m/>
    <x v="4"/>
    <x v="652"/>
  </r>
  <r>
    <s v="2025-04-23"/>
    <x v="3"/>
    <m/>
    <x v="2"/>
    <x v="2"/>
    <n v="46129"/>
    <x v="4"/>
    <x v="3"/>
    <n v="13.1"/>
    <x v="8"/>
    <x v="653"/>
  </r>
  <r>
    <s v="2025-04-23"/>
    <x v="3"/>
    <m/>
    <x v="5"/>
    <x v="0"/>
    <n v="4274"/>
    <x v="0"/>
    <x v="0"/>
    <m/>
    <x v="8"/>
    <x v="654"/>
  </r>
  <r>
    <s v="2025-04-24"/>
    <x v="3"/>
    <m/>
    <x v="7"/>
    <x v="0"/>
    <n v="2936"/>
    <x v="4"/>
    <x v="0"/>
    <m/>
    <x v="8"/>
    <x v="655"/>
  </r>
  <r>
    <s v="2025-04-25"/>
    <x v="3"/>
    <m/>
    <x v="8"/>
    <x v="0"/>
    <n v="3828"/>
    <x v="5"/>
    <x v="0"/>
    <m/>
    <x v="4"/>
    <x v="656"/>
  </r>
  <r>
    <s v="2025-04-25"/>
    <x v="3"/>
    <m/>
    <x v="1"/>
    <x v="0"/>
    <n v="50510"/>
    <x v="3"/>
    <x v="0"/>
    <m/>
    <x v="9"/>
    <x v="657"/>
  </r>
  <r>
    <s v="2025-04-26"/>
    <x v="3"/>
    <s v="Interest Income"/>
    <x v="2"/>
    <x v="1"/>
    <n v="135665"/>
    <x v="5"/>
    <x v="0"/>
    <m/>
    <x v="9"/>
    <x v="658"/>
  </r>
  <r>
    <s v="2025-04-26"/>
    <x v="3"/>
    <s v="Freelancing"/>
    <x v="2"/>
    <x v="1"/>
    <n v="90524"/>
    <x v="4"/>
    <x v="0"/>
    <m/>
    <x v="9"/>
    <x v="659"/>
  </r>
  <r>
    <s v="2025-04-27"/>
    <x v="3"/>
    <m/>
    <x v="3"/>
    <x v="0"/>
    <n v="8608"/>
    <x v="4"/>
    <x v="0"/>
    <m/>
    <x v="0"/>
    <x v="660"/>
  </r>
  <r>
    <s v="2025-04-28"/>
    <x v="3"/>
    <m/>
    <x v="3"/>
    <x v="0"/>
    <n v="5730"/>
    <x v="0"/>
    <x v="0"/>
    <m/>
    <x v="1"/>
    <x v="661"/>
  </r>
  <r>
    <s v="2025-04-29"/>
    <x v="3"/>
    <m/>
    <x v="5"/>
    <x v="0"/>
    <n v="2846"/>
    <x v="1"/>
    <x v="0"/>
    <m/>
    <x v="6"/>
    <x v="662"/>
  </r>
  <r>
    <s v="2025-04-30"/>
    <x v="3"/>
    <s v="Freelancing"/>
    <x v="2"/>
    <x v="1"/>
    <n v="74316"/>
    <x v="0"/>
    <x v="0"/>
    <m/>
    <x v="2"/>
    <x v="663"/>
  </r>
  <r>
    <s v="2025-05-02"/>
    <x v="4"/>
    <m/>
    <x v="2"/>
    <x v="2"/>
    <n v="31481"/>
    <x v="5"/>
    <x v="3"/>
    <n v="17.02"/>
    <x v="4"/>
    <x v="664"/>
  </r>
  <r>
    <s v="2025-05-04"/>
    <x v="4"/>
    <s v="Bonus"/>
    <x v="2"/>
    <x v="1"/>
    <n v="38417"/>
    <x v="4"/>
    <x v="0"/>
    <m/>
    <x v="8"/>
    <x v="665"/>
  </r>
  <r>
    <s v="2025-05-04"/>
    <x v="4"/>
    <m/>
    <x v="2"/>
    <x v="2"/>
    <n v="34930"/>
    <x v="4"/>
    <x v="3"/>
    <n v="-7.0000000000000007E-2"/>
    <x v="5"/>
    <x v="666"/>
  </r>
  <r>
    <s v="2025-05-05"/>
    <x v="4"/>
    <m/>
    <x v="0"/>
    <x v="0"/>
    <n v="19138"/>
    <x v="0"/>
    <x v="0"/>
    <m/>
    <x v="5"/>
    <x v="667"/>
  </r>
  <r>
    <s v="2025-05-05"/>
    <x v="4"/>
    <m/>
    <x v="0"/>
    <x v="0"/>
    <n v="10757"/>
    <x v="5"/>
    <x v="0"/>
    <m/>
    <x v="3"/>
    <x v="668"/>
  </r>
  <r>
    <s v="2025-05-08"/>
    <x v="4"/>
    <m/>
    <x v="0"/>
    <x v="0"/>
    <n v="5171"/>
    <x v="2"/>
    <x v="0"/>
    <m/>
    <x v="0"/>
    <x v="669"/>
  </r>
  <r>
    <s v="2025-05-09"/>
    <x v="4"/>
    <m/>
    <x v="6"/>
    <x v="0"/>
    <n v="36715"/>
    <x v="4"/>
    <x v="0"/>
    <m/>
    <x v="3"/>
    <x v="670"/>
  </r>
  <r>
    <s v="2025-05-09"/>
    <x v="4"/>
    <m/>
    <x v="2"/>
    <x v="2"/>
    <n v="28953"/>
    <x v="0"/>
    <x v="3"/>
    <n v="3.95"/>
    <x v="9"/>
    <x v="671"/>
  </r>
  <r>
    <s v="2025-05-10"/>
    <x v="4"/>
    <m/>
    <x v="5"/>
    <x v="0"/>
    <n v="2840"/>
    <x v="1"/>
    <x v="0"/>
    <m/>
    <x v="8"/>
    <x v="672"/>
  </r>
  <r>
    <s v="2025-05-10"/>
    <x v="4"/>
    <m/>
    <x v="8"/>
    <x v="0"/>
    <n v="10439"/>
    <x v="1"/>
    <x v="0"/>
    <m/>
    <x v="4"/>
    <x v="673"/>
  </r>
  <r>
    <s v="2025-05-11"/>
    <x v="4"/>
    <m/>
    <x v="5"/>
    <x v="0"/>
    <n v="4646"/>
    <x v="4"/>
    <x v="0"/>
    <m/>
    <x v="3"/>
    <x v="674"/>
  </r>
  <r>
    <s v="2025-05-12"/>
    <x v="4"/>
    <m/>
    <x v="0"/>
    <x v="0"/>
    <n v="9251"/>
    <x v="1"/>
    <x v="0"/>
    <m/>
    <x v="7"/>
    <x v="675"/>
  </r>
  <r>
    <s v="2025-05-13"/>
    <x v="4"/>
    <m/>
    <x v="5"/>
    <x v="0"/>
    <n v="572"/>
    <x v="1"/>
    <x v="0"/>
    <m/>
    <x v="2"/>
    <x v="676"/>
  </r>
  <r>
    <s v="2025-05-14"/>
    <x v="4"/>
    <m/>
    <x v="2"/>
    <x v="2"/>
    <n v="93123"/>
    <x v="0"/>
    <x v="1"/>
    <n v="9.7799999999999994"/>
    <x v="0"/>
    <x v="677"/>
  </r>
  <r>
    <s v="2025-05-15"/>
    <x v="4"/>
    <s v="Rental Income"/>
    <x v="2"/>
    <x v="1"/>
    <n v="131780"/>
    <x v="0"/>
    <x v="0"/>
    <m/>
    <x v="3"/>
    <x v="678"/>
  </r>
  <r>
    <s v="2025-05-15"/>
    <x v="4"/>
    <s v="Rental Income"/>
    <x v="2"/>
    <x v="1"/>
    <n v="23089"/>
    <x v="1"/>
    <x v="0"/>
    <m/>
    <x v="9"/>
    <x v="679"/>
  </r>
  <r>
    <s v="2025-05-15"/>
    <x v="4"/>
    <m/>
    <x v="4"/>
    <x v="0"/>
    <n v="8075"/>
    <x v="2"/>
    <x v="0"/>
    <m/>
    <x v="7"/>
    <x v="680"/>
  </r>
  <r>
    <s v="2025-05-16"/>
    <x v="4"/>
    <s v="Dividends"/>
    <x v="2"/>
    <x v="1"/>
    <n v="85442"/>
    <x v="4"/>
    <x v="0"/>
    <m/>
    <x v="2"/>
    <x v="681"/>
  </r>
  <r>
    <s v="2025-05-16"/>
    <x v="4"/>
    <m/>
    <x v="6"/>
    <x v="0"/>
    <n v="16480"/>
    <x v="2"/>
    <x v="0"/>
    <m/>
    <x v="2"/>
    <x v="682"/>
  </r>
  <r>
    <s v="2025-05-17"/>
    <x v="4"/>
    <m/>
    <x v="8"/>
    <x v="0"/>
    <n v="1694"/>
    <x v="4"/>
    <x v="0"/>
    <m/>
    <x v="4"/>
    <x v="683"/>
  </r>
  <r>
    <s v="2025-05-17"/>
    <x v="4"/>
    <s v="Interest Income"/>
    <x v="2"/>
    <x v="1"/>
    <n v="148990"/>
    <x v="5"/>
    <x v="0"/>
    <m/>
    <x v="2"/>
    <x v="684"/>
  </r>
  <r>
    <s v="2025-05-18"/>
    <x v="4"/>
    <s v="Dividends"/>
    <x v="2"/>
    <x v="1"/>
    <n v="29053"/>
    <x v="1"/>
    <x v="0"/>
    <m/>
    <x v="5"/>
    <x v="685"/>
  </r>
  <r>
    <s v="2025-05-18"/>
    <x v="4"/>
    <s v="Salary"/>
    <x v="2"/>
    <x v="1"/>
    <n v="54885"/>
    <x v="0"/>
    <x v="0"/>
    <m/>
    <x v="7"/>
    <x v="686"/>
  </r>
  <r>
    <s v="2025-05-19"/>
    <x v="4"/>
    <s v="Freelancing"/>
    <x v="2"/>
    <x v="1"/>
    <n v="155914"/>
    <x v="1"/>
    <x v="0"/>
    <m/>
    <x v="2"/>
    <x v="687"/>
  </r>
  <r>
    <s v="2025-05-19"/>
    <x v="4"/>
    <m/>
    <x v="2"/>
    <x v="2"/>
    <n v="18892"/>
    <x v="3"/>
    <x v="6"/>
    <n v="1.1399999999999999"/>
    <x v="0"/>
    <x v="688"/>
  </r>
  <r>
    <s v="2025-05-20"/>
    <x v="4"/>
    <s v="Rental Income"/>
    <x v="2"/>
    <x v="1"/>
    <n v="165019"/>
    <x v="5"/>
    <x v="0"/>
    <m/>
    <x v="3"/>
    <x v="689"/>
  </r>
  <r>
    <s v="2025-05-20"/>
    <x v="4"/>
    <m/>
    <x v="2"/>
    <x v="2"/>
    <n v="146277"/>
    <x v="1"/>
    <x v="2"/>
    <n v="17.7"/>
    <x v="5"/>
    <x v="690"/>
  </r>
  <r>
    <s v="2025-05-20"/>
    <x v="4"/>
    <s v="Bonus"/>
    <x v="2"/>
    <x v="1"/>
    <n v="96677"/>
    <x v="3"/>
    <x v="0"/>
    <m/>
    <x v="4"/>
    <x v="691"/>
  </r>
  <r>
    <s v="2025-05-21"/>
    <x v="4"/>
    <s v="Interest Income"/>
    <x v="2"/>
    <x v="1"/>
    <n v="89342"/>
    <x v="5"/>
    <x v="0"/>
    <m/>
    <x v="7"/>
    <x v="692"/>
  </r>
  <r>
    <s v="2025-05-22"/>
    <x v="4"/>
    <m/>
    <x v="2"/>
    <x v="2"/>
    <n v="134672"/>
    <x v="5"/>
    <x v="2"/>
    <n v="26.51"/>
    <x v="8"/>
    <x v="693"/>
  </r>
  <r>
    <s v="2025-05-22"/>
    <x v="4"/>
    <s v="Business"/>
    <x v="2"/>
    <x v="1"/>
    <n v="114917"/>
    <x v="2"/>
    <x v="0"/>
    <m/>
    <x v="4"/>
    <x v="694"/>
  </r>
  <r>
    <s v="2025-05-23"/>
    <x v="4"/>
    <m/>
    <x v="8"/>
    <x v="0"/>
    <n v="1408"/>
    <x v="3"/>
    <x v="0"/>
    <m/>
    <x v="0"/>
    <x v="695"/>
  </r>
  <r>
    <s v="2025-05-25"/>
    <x v="4"/>
    <m/>
    <x v="1"/>
    <x v="0"/>
    <n v="4996"/>
    <x v="0"/>
    <x v="0"/>
    <m/>
    <x v="9"/>
    <x v="696"/>
  </r>
  <r>
    <s v="2025-05-25"/>
    <x v="4"/>
    <m/>
    <x v="3"/>
    <x v="0"/>
    <n v="24598"/>
    <x v="1"/>
    <x v="0"/>
    <m/>
    <x v="9"/>
    <x v="697"/>
  </r>
  <r>
    <s v="2025-05-25"/>
    <x v="4"/>
    <m/>
    <x v="0"/>
    <x v="0"/>
    <n v="12499"/>
    <x v="5"/>
    <x v="0"/>
    <m/>
    <x v="2"/>
    <x v="698"/>
  </r>
  <r>
    <s v="2025-05-27"/>
    <x v="4"/>
    <m/>
    <x v="8"/>
    <x v="0"/>
    <n v="1379"/>
    <x v="0"/>
    <x v="0"/>
    <m/>
    <x v="2"/>
    <x v="699"/>
  </r>
  <r>
    <s v="2025-05-28"/>
    <x v="4"/>
    <m/>
    <x v="2"/>
    <x v="2"/>
    <n v="70363"/>
    <x v="3"/>
    <x v="2"/>
    <n v="24.3"/>
    <x v="9"/>
    <x v="700"/>
  </r>
  <r>
    <s v="2025-05-28"/>
    <x v="4"/>
    <s v="Salary"/>
    <x v="2"/>
    <x v="1"/>
    <n v="133101"/>
    <x v="0"/>
    <x v="0"/>
    <m/>
    <x v="4"/>
    <x v="701"/>
  </r>
  <r>
    <s v="2025-06-01"/>
    <x v="5"/>
    <m/>
    <x v="0"/>
    <x v="0"/>
    <n v="16412"/>
    <x v="3"/>
    <x v="0"/>
    <m/>
    <x v="3"/>
    <x v="702"/>
  </r>
  <r>
    <s v="2025-06-03"/>
    <x v="5"/>
    <m/>
    <x v="0"/>
    <x v="0"/>
    <n v="10988"/>
    <x v="3"/>
    <x v="0"/>
    <m/>
    <x v="9"/>
    <x v="703"/>
  </r>
  <r>
    <s v="2025-06-03"/>
    <x v="5"/>
    <s v="Bonus"/>
    <x v="2"/>
    <x v="1"/>
    <n v="133466"/>
    <x v="0"/>
    <x v="0"/>
    <m/>
    <x v="6"/>
    <x v="704"/>
  </r>
  <r>
    <s v="2025-06-03"/>
    <x v="5"/>
    <m/>
    <x v="2"/>
    <x v="2"/>
    <n v="138410"/>
    <x v="5"/>
    <x v="5"/>
    <n v="15.48"/>
    <x v="3"/>
    <x v="705"/>
  </r>
  <r>
    <s v="2025-06-05"/>
    <x v="5"/>
    <m/>
    <x v="7"/>
    <x v="0"/>
    <n v="599"/>
    <x v="1"/>
    <x v="0"/>
    <m/>
    <x v="5"/>
    <x v="706"/>
  </r>
  <r>
    <s v="2025-06-05"/>
    <x v="5"/>
    <m/>
    <x v="0"/>
    <x v="0"/>
    <n v="16110"/>
    <x v="3"/>
    <x v="0"/>
    <m/>
    <x v="1"/>
    <x v="707"/>
  </r>
  <r>
    <s v="2025-06-06"/>
    <x v="5"/>
    <m/>
    <x v="3"/>
    <x v="0"/>
    <n v="11948"/>
    <x v="5"/>
    <x v="0"/>
    <m/>
    <x v="5"/>
    <x v="708"/>
  </r>
  <r>
    <s v="2025-06-06"/>
    <x v="5"/>
    <s v="Business"/>
    <x v="2"/>
    <x v="1"/>
    <n v="146640"/>
    <x v="0"/>
    <x v="0"/>
    <m/>
    <x v="1"/>
    <x v="709"/>
  </r>
  <r>
    <s v="2025-06-07"/>
    <x v="5"/>
    <s v="Rental Income"/>
    <x v="2"/>
    <x v="1"/>
    <n v="64828"/>
    <x v="5"/>
    <x v="0"/>
    <m/>
    <x v="6"/>
    <x v="710"/>
  </r>
  <r>
    <s v="2025-06-07"/>
    <x v="5"/>
    <m/>
    <x v="2"/>
    <x v="2"/>
    <n v="19397"/>
    <x v="2"/>
    <x v="6"/>
    <n v="12.84"/>
    <x v="9"/>
    <x v="711"/>
  </r>
  <r>
    <s v="2025-06-07"/>
    <x v="5"/>
    <s v="Dividends"/>
    <x v="2"/>
    <x v="1"/>
    <n v="41552"/>
    <x v="5"/>
    <x v="0"/>
    <m/>
    <x v="1"/>
    <x v="712"/>
  </r>
  <r>
    <s v="2025-06-07"/>
    <x v="5"/>
    <m/>
    <x v="4"/>
    <x v="0"/>
    <n v="6504"/>
    <x v="2"/>
    <x v="0"/>
    <m/>
    <x v="2"/>
    <x v="713"/>
  </r>
  <r>
    <s v="2025-06-09"/>
    <x v="5"/>
    <s v="Interest Income"/>
    <x v="2"/>
    <x v="1"/>
    <n v="17332"/>
    <x v="3"/>
    <x v="0"/>
    <m/>
    <x v="5"/>
    <x v="714"/>
  </r>
  <r>
    <s v="2025-06-10"/>
    <x v="5"/>
    <s v="Salary"/>
    <x v="2"/>
    <x v="1"/>
    <n v="127330"/>
    <x v="5"/>
    <x v="0"/>
    <m/>
    <x v="7"/>
    <x v="715"/>
  </r>
  <r>
    <s v="2025-06-10"/>
    <x v="5"/>
    <m/>
    <x v="2"/>
    <x v="2"/>
    <n v="68806"/>
    <x v="4"/>
    <x v="4"/>
    <n v="-13.11"/>
    <x v="1"/>
    <x v="716"/>
  </r>
  <r>
    <s v="2025-06-11"/>
    <x v="5"/>
    <m/>
    <x v="8"/>
    <x v="0"/>
    <n v="4460"/>
    <x v="3"/>
    <x v="0"/>
    <m/>
    <x v="8"/>
    <x v="717"/>
  </r>
  <r>
    <s v="2025-06-12"/>
    <x v="5"/>
    <s v="Freelancing"/>
    <x v="2"/>
    <x v="1"/>
    <n v="101766"/>
    <x v="2"/>
    <x v="0"/>
    <m/>
    <x v="2"/>
    <x v="718"/>
  </r>
  <r>
    <s v="2025-06-13"/>
    <x v="5"/>
    <m/>
    <x v="2"/>
    <x v="2"/>
    <n v="82300"/>
    <x v="3"/>
    <x v="1"/>
    <n v="-8.66"/>
    <x v="5"/>
    <x v="719"/>
  </r>
  <r>
    <s v="2025-06-14"/>
    <x v="5"/>
    <m/>
    <x v="1"/>
    <x v="0"/>
    <n v="41986"/>
    <x v="3"/>
    <x v="0"/>
    <m/>
    <x v="6"/>
    <x v="720"/>
  </r>
  <r>
    <s v="2025-06-14"/>
    <x v="5"/>
    <s v="Dividends"/>
    <x v="2"/>
    <x v="1"/>
    <n v="32987"/>
    <x v="0"/>
    <x v="0"/>
    <m/>
    <x v="7"/>
    <x v="721"/>
  </r>
  <r>
    <s v="2025-06-16"/>
    <x v="5"/>
    <s v="Dividends"/>
    <x v="2"/>
    <x v="1"/>
    <n v="68849"/>
    <x v="4"/>
    <x v="0"/>
    <m/>
    <x v="4"/>
    <x v="722"/>
  </r>
  <r>
    <s v="2025-06-17"/>
    <x v="5"/>
    <s v="Bonus"/>
    <x v="2"/>
    <x v="1"/>
    <n v="59433"/>
    <x v="1"/>
    <x v="0"/>
    <m/>
    <x v="9"/>
    <x v="723"/>
  </r>
  <r>
    <s v="2025-06-17"/>
    <x v="5"/>
    <m/>
    <x v="2"/>
    <x v="2"/>
    <n v="173977"/>
    <x v="3"/>
    <x v="5"/>
    <n v="14.52"/>
    <x v="1"/>
    <x v="724"/>
  </r>
  <r>
    <s v="2025-06-18"/>
    <x v="5"/>
    <m/>
    <x v="7"/>
    <x v="0"/>
    <n v="3007"/>
    <x v="2"/>
    <x v="0"/>
    <m/>
    <x v="2"/>
    <x v="725"/>
  </r>
  <r>
    <s v="2025-06-19"/>
    <x v="5"/>
    <m/>
    <x v="6"/>
    <x v="0"/>
    <n v="36367"/>
    <x v="4"/>
    <x v="0"/>
    <m/>
    <x v="1"/>
    <x v="726"/>
  </r>
  <r>
    <s v="2025-06-20"/>
    <x v="5"/>
    <m/>
    <x v="0"/>
    <x v="0"/>
    <n v="5142"/>
    <x v="4"/>
    <x v="0"/>
    <m/>
    <x v="1"/>
    <x v="727"/>
  </r>
  <r>
    <s v="2025-06-20"/>
    <x v="5"/>
    <m/>
    <x v="4"/>
    <x v="0"/>
    <n v="8561"/>
    <x v="3"/>
    <x v="0"/>
    <m/>
    <x v="9"/>
    <x v="728"/>
  </r>
  <r>
    <s v="2025-06-21"/>
    <x v="5"/>
    <m/>
    <x v="6"/>
    <x v="0"/>
    <n v="20721"/>
    <x v="5"/>
    <x v="0"/>
    <m/>
    <x v="1"/>
    <x v="729"/>
  </r>
  <r>
    <s v="2025-06-22"/>
    <x v="5"/>
    <m/>
    <x v="7"/>
    <x v="0"/>
    <n v="1749"/>
    <x v="3"/>
    <x v="0"/>
    <m/>
    <x v="6"/>
    <x v="730"/>
  </r>
  <r>
    <s v="2025-06-22"/>
    <x v="5"/>
    <s v="Freelancing"/>
    <x v="2"/>
    <x v="1"/>
    <n v="151473"/>
    <x v="0"/>
    <x v="0"/>
    <m/>
    <x v="7"/>
    <x v="731"/>
  </r>
  <r>
    <s v="2025-06-24"/>
    <x v="5"/>
    <m/>
    <x v="2"/>
    <x v="2"/>
    <n v="32760"/>
    <x v="4"/>
    <x v="4"/>
    <n v="24.94"/>
    <x v="1"/>
    <x v="732"/>
  </r>
  <r>
    <s v="2025-06-24"/>
    <x v="5"/>
    <m/>
    <x v="2"/>
    <x v="2"/>
    <n v="20561"/>
    <x v="3"/>
    <x v="6"/>
    <n v="1.71"/>
    <x v="0"/>
    <x v="733"/>
  </r>
  <r>
    <s v="2025-06-26"/>
    <x v="5"/>
    <m/>
    <x v="5"/>
    <x v="0"/>
    <n v="340"/>
    <x v="2"/>
    <x v="0"/>
    <m/>
    <x v="2"/>
    <x v="734"/>
  </r>
  <r>
    <s v="2025-06-27"/>
    <x v="5"/>
    <m/>
    <x v="4"/>
    <x v="0"/>
    <n v="3085"/>
    <x v="1"/>
    <x v="0"/>
    <m/>
    <x v="8"/>
    <x v="735"/>
  </r>
  <r>
    <s v="2025-06-30"/>
    <x v="5"/>
    <m/>
    <x v="4"/>
    <x v="0"/>
    <n v="7873"/>
    <x v="3"/>
    <x v="0"/>
    <m/>
    <x v="9"/>
    <x v="736"/>
  </r>
  <r>
    <s v="2025-07-02"/>
    <x v="6"/>
    <m/>
    <x v="1"/>
    <x v="0"/>
    <n v="38533"/>
    <x v="1"/>
    <x v="0"/>
    <m/>
    <x v="3"/>
    <x v="737"/>
  </r>
  <r>
    <s v="2025-07-04"/>
    <x v="6"/>
    <s v="Business"/>
    <x v="2"/>
    <x v="1"/>
    <n v="49722"/>
    <x v="5"/>
    <x v="0"/>
    <m/>
    <x v="8"/>
    <x v="738"/>
  </r>
  <r>
    <s v="2025-07-04"/>
    <x v="6"/>
    <m/>
    <x v="3"/>
    <x v="0"/>
    <n v="10354"/>
    <x v="4"/>
    <x v="0"/>
    <m/>
    <x v="5"/>
    <x v="739"/>
  </r>
  <r>
    <s v="2025-07-04"/>
    <x v="6"/>
    <m/>
    <x v="6"/>
    <x v="0"/>
    <n v="27968"/>
    <x v="1"/>
    <x v="0"/>
    <m/>
    <x v="4"/>
    <x v="740"/>
  </r>
  <r>
    <s v="2025-07-06"/>
    <x v="6"/>
    <m/>
    <x v="2"/>
    <x v="2"/>
    <n v="19895"/>
    <x v="2"/>
    <x v="5"/>
    <n v="13.46"/>
    <x v="5"/>
    <x v="741"/>
  </r>
  <r>
    <s v="2025-07-06"/>
    <x v="6"/>
    <m/>
    <x v="4"/>
    <x v="0"/>
    <n v="6293"/>
    <x v="3"/>
    <x v="0"/>
    <m/>
    <x v="1"/>
    <x v="742"/>
  </r>
  <r>
    <s v="2025-07-07"/>
    <x v="6"/>
    <m/>
    <x v="2"/>
    <x v="2"/>
    <n v="126613"/>
    <x v="4"/>
    <x v="5"/>
    <n v="-9.19"/>
    <x v="7"/>
    <x v="743"/>
  </r>
  <r>
    <s v="2025-07-09"/>
    <x v="6"/>
    <s v="Dividends"/>
    <x v="2"/>
    <x v="1"/>
    <n v="51327"/>
    <x v="2"/>
    <x v="0"/>
    <m/>
    <x v="7"/>
    <x v="744"/>
  </r>
  <r>
    <s v="2025-07-10"/>
    <x v="6"/>
    <m/>
    <x v="8"/>
    <x v="0"/>
    <n v="3590"/>
    <x v="4"/>
    <x v="0"/>
    <m/>
    <x v="1"/>
    <x v="745"/>
  </r>
  <r>
    <s v="2025-07-11"/>
    <x v="6"/>
    <m/>
    <x v="0"/>
    <x v="0"/>
    <n v="12703"/>
    <x v="5"/>
    <x v="0"/>
    <m/>
    <x v="0"/>
    <x v="746"/>
  </r>
  <r>
    <s v="2025-07-12"/>
    <x v="6"/>
    <s v="Business"/>
    <x v="2"/>
    <x v="1"/>
    <n v="167701"/>
    <x v="2"/>
    <x v="0"/>
    <m/>
    <x v="5"/>
    <x v="747"/>
  </r>
  <r>
    <s v="2025-07-13"/>
    <x v="6"/>
    <m/>
    <x v="4"/>
    <x v="0"/>
    <n v="11517"/>
    <x v="3"/>
    <x v="0"/>
    <m/>
    <x v="3"/>
    <x v="748"/>
  </r>
  <r>
    <s v="2025-07-13"/>
    <x v="6"/>
    <m/>
    <x v="7"/>
    <x v="0"/>
    <n v="2296"/>
    <x v="0"/>
    <x v="0"/>
    <m/>
    <x v="8"/>
    <x v="749"/>
  </r>
  <r>
    <s v="2025-07-13"/>
    <x v="6"/>
    <m/>
    <x v="1"/>
    <x v="0"/>
    <n v="51486"/>
    <x v="0"/>
    <x v="0"/>
    <m/>
    <x v="6"/>
    <x v="750"/>
  </r>
  <r>
    <s v="2025-07-13"/>
    <x v="6"/>
    <m/>
    <x v="3"/>
    <x v="0"/>
    <n v="24253"/>
    <x v="1"/>
    <x v="0"/>
    <m/>
    <x v="9"/>
    <x v="751"/>
  </r>
  <r>
    <s v="2025-07-14"/>
    <x v="6"/>
    <m/>
    <x v="2"/>
    <x v="2"/>
    <n v="24147"/>
    <x v="2"/>
    <x v="3"/>
    <n v="10.54"/>
    <x v="3"/>
    <x v="752"/>
  </r>
  <r>
    <s v="2025-07-15"/>
    <x v="6"/>
    <m/>
    <x v="0"/>
    <x v="0"/>
    <n v="18668"/>
    <x v="3"/>
    <x v="0"/>
    <m/>
    <x v="2"/>
    <x v="753"/>
  </r>
  <r>
    <s v="2025-07-16"/>
    <x v="6"/>
    <m/>
    <x v="6"/>
    <x v="0"/>
    <n v="27048"/>
    <x v="4"/>
    <x v="0"/>
    <m/>
    <x v="8"/>
    <x v="754"/>
  </r>
  <r>
    <s v="2025-07-16"/>
    <x v="6"/>
    <m/>
    <x v="5"/>
    <x v="0"/>
    <n v="4142"/>
    <x v="4"/>
    <x v="0"/>
    <m/>
    <x v="9"/>
    <x v="755"/>
  </r>
  <r>
    <s v="2025-07-17"/>
    <x v="6"/>
    <m/>
    <x v="8"/>
    <x v="0"/>
    <n v="11273"/>
    <x v="1"/>
    <x v="0"/>
    <m/>
    <x v="7"/>
    <x v="756"/>
  </r>
  <r>
    <s v="2025-07-18"/>
    <x v="6"/>
    <m/>
    <x v="7"/>
    <x v="0"/>
    <n v="608"/>
    <x v="0"/>
    <x v="0"/>
    <m/>
    <x v="5"/>
    <x v="757"/>
  </r>
  <r>
    <s v="2025-07-18"/>
    <x v="6"/>
    <s v="Salary"/>
    <x v="2"/>
    <x v="1"/>
    <n v="32235"/>
    <x v="5"/>
    <x v="0"/>
    <m/>
    <x v="2"/>
    <x v="758"/>
  </r>
  <r>
    <s v="2025-07-19"/>
    <x v="6"/>
    <s v="Dividends"/>
    <x v="2"/>
    <x v="1"/>
    <n v="80887"/>
    <x v="1"/>
    <x v="0"/>
    <m/>
    <x v="0"/>
    <x v="759"/>
  </r>
  <r>
    <s v="2025-07-19"/>
    <x v="6"/>
    <m/>
    <x v="1"/>
    <x v="0"/>
    <n v="12712"/>
    <x v="5"/>
    <x v="0"/>
    <m/>
    <x v="7"/>
    <x v="760"/>
  </r>
  <r>
    <s v="2025-07-20"/>
    <x v="6"/>
    <s v="Business"/>
    <x v="2"/>
    <x v="1"/>
    <n v="173552"/>
    <x v="1"/>
    <x v="0"/>
    <m/>
    <x v="4"/>
    <x v="761"/>
  </r>
  <r>
    <s v="2025-07-20"/>
    <x v="6"/>
    <m/>
    <x v="4"/>
    <x v="0"/>
    <n v="1844"/>
    <x v="0"/>
    <x v="0"/>
    <m/>
    <x v="3"/>
    <x v="762"/>
  </r>
  <r>
    <s v="2025-07-21"/>
    <x v="6"/>
    <s v="Freelancing"/>
    <x v="2"/>
    <x v="1"/>
    <n v="16885"/>
    <x v="0"/>
    <x v="0"/>
    <m/>
    <x v="6"/>
    <x v="763"/>
  </r>
  <r>
    <s v="2025-07-21"/>
    <x v="6"/>
    <s v="Bonus"/>
    <x v="2"/>
    <x v="1"/>
    <n v="114390"/>
    <x v="4"/>
    <x v="0"/>
    <m/>
    <x v="5"/>
    <x v="764"/>
  </r>
  <r>
    <s v="2025-07-21"/>
    <x v="6"/>
    <s v="Freelancing"/>
    <x v="2"/>
    <x v="1"/>
    <n v="76079"/>
    <x v="5"/>
    <x v="0"/>
    <m/>
    <x v="5"/>
    <x v="765"/>
  </r>
  <r>
    <s v="2025-07-22"/>
    <x v="6"/>
    <m/>
    <x v="5"/>
    <x v="0"/>
    <n v="4932"/>
    <x v="5"/>
    <x v="0"/>
    <m/>
    <x v="2"/>
    <x v="766"/>
  </r>
  <r>
    <s v="2025-07-23"/>
    <x v="6"/>
    <m/>
    <x v="5"/>
    <x v="0"/>
    <n v="4903"/>
    <x v="1"/>
    <x v="0"/>
    <m/>
    <x v="2"/>
    <x v="767"/>
  </r>
  <r>
    <s v="2025-07-24"/>
    <x v="6"/>
    <s v="Interest Income"/>
    <x v="2"/>
    <x v="1"/>
    <n v="46813"/>
    <x v="3"/>
    <x v="0"/>
    <m/>
    <x v="5"/>
    <x v="768"/>
  </r>
  <r>
    <s v="2025-07-24"/>
    <x v="6"/>
    <m/>
    <x v="0"/>
    <x v="0"/>
    <n v="756"/>
    <x v="5"/>
    <x v="0"/>
    <m/>
    <x v="7"/>
    <x v="769"/>
  </r>
  <r>
    <s v="2025-07-24"/>
    <x v="6"/>
    <m/>
    <x v="2"/>
    <x v="2"/>
    <n v="23955"/>
    <x v="3"/>
    <x v="1"/>
    <n v="11.92"/>
    <x v="7"/>
    <x v="770"/>
  </r>
  <r>
    <s v="2025-07-25"/>
    <x v="6"/>
    <m/>
    <x v="2"/>
    <x v="2"/>
    <n v="55181"/>
    <x v="3"/>
    <x v="2"/>
    <n v="10.91"/>
    <x v="7"/>
    <x v="771"/>
  </r>
  <r>
    <s v="2025-07-25"/>
    <x v="6"/>
    <m/>
    <x v="3"/>
    <x v="0"/>
    <n v="15107"/>
    <x v="5"/>
    <x v="0"/>
    <m/>
    <x v="2"/>
    <x v="772"/>
  </r>
  <r>
    <s v="2025-07-25"/>
    <x v="6"/>
    <m/>
    <x v="0"/>
    <x v="0"/>
    <n v="3757"/>
    <x v="4"/>
    <x v="0"/>
    <m/>
    <x v="0"/>
    <x v="773"/>
  </r>
  <r>
    <s v="2025-07-25"/>
    <x v="6"/>
    <m/>
    <x v="7"/>
    <x v="0"/>
    <n v="927"/>
    <x v="5"/>
    <x v="0"/>
    <m/>
    <x v="3"/>
    <x v="774"/>
  </r>
  <r>
    <s v="2025-07-28"/>
    <x v="6"/>
    <m/>
    <x v="2"/>
    <x v="2"/>
    <n v="170844"/>
    <x v="2"/>
    <x v="5"/>
    <n v="14.02"/>
    <x v="6"/>
    <x v="775"/>
  </r>
  <r>
    <s v="2025-07-30"/>
    <x v="6"/>
    <m/>
    <x v="2"/>
    <x v="2"/>
    <n v="18265"/>
    <x v="3"/>
    <x v="3"/>
    <n v="-9.91"/>
    <x v="0"/>
    <x v="776"/>
  </r>
  <r>
    <s v="2025-07-30"/>
    <x v="6"/>
    <m/>
    <x v="0"/>
    <x v="0"/>
    <n v="18330"/>
    <x v="4"/>
    <x v="0"/>
    <m/>
    <x v="9"/>
    <x v="777"/>
  </r>
  <r>
    <s v="2025-07-31"/>
    <x v="6"/>
    <m/>
    <x v="6"/>
    <x v="0"/>
    <n v="36089"/>
    <x v="1"/>
    <x v="0"/>
    <m/>
    <x v="3"/>
    <x v="778"/>
  </r>
  <r>
    <s v="2025-07-31"/>
    <x v="6"/>
    <m/>
    <x v="2"/>
    <x v="2"/>
    <n v="38586"/>
    <x v="1"/>
    <x v="4"/>
    <n v="17.98"/>
    <x v="0"/>
    <x v="779"/>
  </r>
  <r>
    <s v="2025-07-31"/>
    <x v="6"/>
    <m/>
    <x v="3"/>
    <x v="0"/>
    <n v="15701"/>
    <x v="5"/>
    <x v="0"/>
    <m/>
    <x v="0"/>
    <x v="780"/>
  </r>
  <r>
    <s v="2025-08-02"/>
    <x v="7"/>
    <m/>
    <x v="8"/>
    <x v="0"/>
    <n v="9228"/>
    <x v="3"/>
    <x v="0"/>
    <m/>
    <x v="4"/>
    <x v="781"/>
  </r>
  <r>
    <s v="2025-08-02"/>
    <x v="7"/>
    <m/>
    <x v="1"/>
    <x v="0"/>
    <n v="37026"/>
    <x v="2"/>
    <x v="0"/>
    <m/>
    <x v="8"/>
    <x v="782"/>
  </r>
  <r>
    <s v="2025-08-02"/>
    <x v="7"/>
    <m/>
    <x v="0"/>
    <x v="0"/>
    <n v="9161"/>
    <x v="1"/>
    <x v="0"/>
    <m/>
    <x v="6"/>
    <x v="783"/>
  </r>
  <r>
    <s v="2025-08-02"/>
    <x v="7"/>
    <m/>
    <x v="8"/>
    <x v="0"/>
    <n v="7517"/>
    <x v="1"/>
    <x v="0"/>
    <m/>
    <x v="6"/>
    <x v="784"/>
  </r>
  <r>
    <s v="2025-08-02"/>
    <x v="7"/>
    <m/>
    <x v="2"/>
    <x v="2"/>
    <n v="20162"/>
    <x v="3"/>
    <x v="1"/>
    <n v="16.64"/>
    <x v="4"/>
    <x v="785"/>
  </r>
  <r>
    <s v="2025-08-04"/>
    <x v="7"/>
    <s v="Dividends"/>
    <x v="2"/>
    <x v="1"/>
    <n v="49264"/>
    <x v="1"/>
    <x v="0"/>
    <m/>
    <x v="9"/>
    <x v="786"/>
  </r>
  <r>
    <s v="2025-08-04"/>
    <x v="7"/>
    <m/>
    <x v="3"/>
    <x v="0"/>
    <n v="16629"/>
    <x v="2"/>
    <x v="0"/>
    <m/>
    <x v="9"/>
    <x v="787"/>
  </r>
  <r>
    <s v="2025-08-05"/>
    <x v="7"/>
    <m/>
    <x v="2"/>
    <x v="2"/>
    <n v="21299"/>
    <x v="5"/>
    <x v="4"/>
    <n v="5.15"/>
    <x v="2"/>
    <x v="788"/>
  </r>
  <r>
    <s v="2025-08-05"/>
    <x v="7"/>
    <m/>
    <x v="2"/>
    <x v="2"/>
    <n v="11118"/>
    <x v="3"/>
    <x v="1"/>
    <n v="16.11"/>
    <x v="5"/>
    <x v="789"/>
  </r>
  <r>
    <s v="2025-08-06"/>
    <x v="7"/>
    <s v="Rental Income"/>
    <x v="2"/>
    <x v="1"/>
    <n v="25418"/>
    <x v="2"/>
    <x v="0"/>
    <m/>
    <x v="8"/>
    <x v="790"/>
  </r>
  <r>
    <s v="2025-08-06"/>
    <x v="7"/>
    <m/>
    <x v="8"/>
    <x v="0"/>
    <n v="9564"/>
    <x v="5"/>
    <x v="0"/>
    <m/>
    <x v="8"/>
    <x v="791"/>
  </r>
  <r>
    <s v="2025-08-06"/>
    <x v="7"/>
    <m/>
    <x v="5"/>
    <x v="0"/>
    <n v="5089"/>
    <x v="2"/>
    <x v="0"/>
    <m/>
    <x v="5"/>
    <x v="792"/>
  </r>
  <r>
    <s v="2025-08-06"/>
    <x v="7"/>
    <m/>
    <x v="2"/>
    <x v="2"/>
    <n v="23772"/>
    <x v="4"/>
    <x v="4"/>
    <n v="-1.4"/>
    <x v="5"/>
    <x v="793"/>
  </r>
  <r>
    <s v="2025-08-07"/>
    <x v="7"/>
    <m/>
    <x v="3"/>
    <x v="0"/>
    <n v="15998"/>
    <x v="3"/>
    <x v="0"/>
    <m/>
    <x v="1"/>
    <x v="794"/>
  </r>
  <r>
    <s v="2025-08-07"/>
    <x v="7"/>
    <m/>
    <x v="0"/>
    <x v="0"/>
    <n v="16353"/>
    <x v="2"/>
    <x v="0"/>
    <m/>
    <x v="0"/>
    <x v="795"/>
  </r>
  <r>
    <s v="2025-08-08"/>
    <x v="7"/>
    <m/>
    <x v="0"/>
    <x v="0"/>
    <n v="1730"/>
    <x v="5"/>
    <x v="0"/>
    <m/>
    <x v="3"/>
    <x v="796"/>
  </r>
  <r>
    <s v="2025-08-08"/>
    <x v="7"/>
    <m/>
    <x v="7"/>
    <x v="0"/>
    <n v="2189"/>
    <x v="4"/>
    <x v="0"/>
    <m/>
    <x v="7"/>
    <x v="797"/>
  </r>
  <r>
    <s v="2025-08-08"/>
    <x v="7"/>
    <m/>
    <x v="7"/>
    <x v="0"/>
    <n v="884"/>
    <x v="1"/>
    <x v="0"/>
    <m/>
    <x v="7"/>
    <x v="798"/>
  </r>
  <r>
    <s v="2025-08-08"/>
    <x v="7"/>
    <m/>
    <x v="7"/>
    <x v="0"/>
    <n v="855"/>
    <x v="5"/>
    <x v="0"/>
    <m/>
    <x v="2"/>
    <x v="799"/>
  </r>
  <r>
    <s v="2025-08-09"/>
    <x v="7"/>
    <s v="Interest Income"/>
    <x v="2"/>
    <x v="1"/>
    <n v="157372"/>
    <x v="5"/>
    <x v="0"/>
    <m/>
    <x v="7"/>
    <x v="800"/>
  </r>
  <r>
    <s v="2025-08-09"/>
    <x v="7"/>
    <s v="Business"/>
    <x v="2"/>
    <x v="1"/>
    <n v="173693"/>
    <x v="5"/>
    <x v="0"/>
    <m/>
    <x v="3"/>
    <x v="801"/>
  </r>
  <r>
    <s v="2025-08-10"/>
    <x v="7"/>
    <m/>
    <x v="0"/>
    <x v="0"/>
    <n v="9786"/>
    <x v="0"/>
    <x v="0"/>
    <m/>
    <x v="2"/>
    <x v="802"/>
  </r>
  <r>
    <s v="2025-08-10"/>
    <x v="7"/>
    <s v="Business"/>
    <x v="2"/>
    <x v="1"/>
    <n v="119342"/>
    <x v="5"/>
    <x v="0"/>
    <m/>
    <x v="9"/>
    <x v="803"/>
  </r>
  <r>
    <s v="2025-08-11"/>
    <x v="7"/>
    <s v="Dividends"/>
    <x v="2"/>
    <x v="1"/>
    <n v="92392"/>
    <x v="0"/>
    <x v="0"/>
    <m/>
    <x v="2"/>
    <x v="804"/>
  </r>
  <r>
    <s v="2025-08-12"/>
    <x v="7"/>
    <m/>
    <x v="7"/>
    <x v="0"/>
    <n v="1590"/>
    <x v="5"/>
    <x v="0"/>
    <m/>
    <x v="2"/>
    <x v="805"/>
  </r>
  <r>
    <s v="2025-08-12"/>
    <x v="7"/>
    <m/>
    <x v="8"/>
    <x v="0"/>
    <n v="6661"/>
    <x v="5"/>
    <x v="0"/>
    <m/>
    <x v="2"/>
    <x v="806"/>
  </r>
  <r>
    <s v="2025-08-13"/>
    <x v="7"/>
    <s v="Interest Income"/>
    <x v="2"/>
    <x v="1"/>
    <n v="60925"/>
    <x v="3"/>
    <x v="0"/>
    <m/>
    <x v="7"/>
    <x v="807"/>
  </r>
  <r>
    <s v="2025-08-14"/>
    <x v="7"/>
    <m/>
    <x v="3"/>
    <x v="0"/>
    <n v="5721"/>
    <x v="3"/>
    <x v="0"/>
    <m/>
    <x v="7"/>
    <x v="808"/>
  </r>
  <r>
    <s v="2025-08-14"/>
    <x v="7"/>
    <s v="Salary"/>
    <x v="2"/>
    <x v="1"/>
    <n v="167967"/>
    <x v="3"/>
    <x v="0"/>
    <m/>
    <x v="5"/>
    <x v="809"/>
  </r>
  <r>
    <s v="2025-08-14"/>
    <x v="7"/>
    <s v="Interest Income"/>
    <x v="2"/>
    <x v="1"/>
    <n v="155742"/>
    <x v="1"/>
    <x v="0"/>
    <m/>
    <x v="4"/>
    <x v="810"/>
  </r>
  <r>
    <s v="2025-08-14"/>
    <x v="7"/>
    <s v="Interest Income"/>
    <x v="2"/>
    <x v="1"/>
    <n v="142228"/>
    <x v="5"/>
    <x v="0"/>
    <m/>
    <x v="6"/>
    <x v="811"/>
  </r>
  <r>
    <s v="2025-08-16"/>
    <x v="7"/>
    <m/>
    <x v="4"/>
    <x v="0"/>
    <n v="1776"/>
    <x v="5"/>
    <x v="0"/>
    <m/>
    <x v="4"/>
    <x v="812"/>
  </r>
  <r>
    <s v="2025-08-17"/>
    <x v="7"/>
    <s v="Freelancing"/>
    <x v="2"/>
    <x v="1"/>
    <n v="118376"/>
    <x v="0"/>
    <x v="0"/>
    <m/>
    <x v="0"/>
    <x v="813"/>
  </r>
  <r>
    <s v="2025-08-18"/>
    <x v="7"/>
    <m/>
    <x v="8"/>
    <x v="0"/>
    <n v="2685"/>
    <x v="0"/>
    <x v="0"/>
    <m/>
    <x v="4"/>
    <x v="814"/>
  </r>
  <r>
    <s v="2025-08-18"/>
    <x v="7"/>
    <m/>
    <x v="1"/>
    <x v="0"/>
    <n v="46115"/>
    <x v="2"/>
    <x v="0"/>
    <m/>
    <x v="5"/>
    <x v="815"/>
  </r>
  <r>
    <s v="2025-08-19"/>
    <x v="7"/>
    <m/>
    <x v="0"/>
    <x v="0"/>
    <n v="18114"/>
    <x v="0"/>
    <x v="0"/>
    <m/>
    <x v="4"/>
    <x v="816"/>
  </r>
  <r>
    <s v="2025-08-19"/>
    <x v="7"/>
    <m/>
    <x v="0"/>
    <x v="0"/>
    <n v="17794"/>
    <x v="5"/>
    <x v="0"/>
    <m/>
    <x v="2"/>
    <x v="817"/>
  </r>
  <r>
    <s v="2025-08-20"/>
    <x v="7"/>
    <m/>
    <x v="3"/>
    <x v="0"/>
    <n v="11744"/>
    <x v="4"/>
    <x v="0"/>
    <m/>
    <x v="1"/>
    <x v="818"/>
  </r>
  <r>
    <s v="2025-08-21"/>
    <x v="7"/>
    <m/>
    <x v="0"/>
    <x v="0"/>
    <n v="12161"/>
    <x v="1"/>
    <x v="0"/>
    <m/>
    <x v="5"/>
    <x v="819"/>
  </r>
  <r>
    <s v="2025-08-21"/>
    <x v="7"/>
    <s v="Interest Income"/>
    <x v="2"/>
    <x v="1"/>
    <n v="78724"/>
    <x v="0"/>
    <x v="0"/>
    <m/>
    <x v="6"/>
    <x v="820"/>
  </r>
  <r>
    <s v="2025-08-24"/>
    <x v="7"/>
    <s v="Bonus"/>
    <x v="2"/>
    <x v="1"/>
    <n v="80561"/>
    <x v="3"/>
    <x v="0"/>
    <m/>
    <x v="9"/>
    <x v="821"/>
  </r>
  <r>
    <s v="2025-08-24"/>
    <x v="7"/>
    <s v="Business"/>
    <x v="2"/>
    <x v="1"/>
    <n v="71555"/>
    <x v="0"/>
    <x v="0"/>
    <m/>
    <x v="6"/>
    <x v="822"/>
  </r>
  <r>
    <s v="2025-08-24"/>
    <x v="7"/>
    <m/>
    <x v="0"/>
    <x v="0"/>
    <n v="3987"/>
    <x v="3"/>
    <x v="0"/>
    <m/>
    <x v="5"/>
    <x v="823"/>
  </r>
  <r>
    <s v="2025-08-26"/>
    <x v="7"/>
    <s v="Salary"/>
    <x v="2"/>
    <x v="1"/>
    <n v="116477"/>
    <x v="2"/>
    <x v="0"/>
    <m/>
    <x v="2"/>
    <x v="824"/>
  </r>
  <r>
    <s v="2025-08-26"/>
    <x v="7"/>
    <m/>
    <x v="6"/>
    <x v="0"/>
    <n v="32024"/>
    <x v="4"/>
    <x v="0"/>
    <m/>
    <x v="6"/>
    <x v="825"/>
  </r>
  <r>
    <s v="2025-08-26"/>
    <x v="7"/>
    <m/>
    <x v="5"/>
    <x v="0"/>
    <n v="1296"/>
    <x v="3"/>
    <x v="0"/>
    <m/>
    <x v="7"/>
    <x v="826"/>
  </r>
  <r>
    <s v="2025-08-27"/>
    <x v="7"/>
    <s v="Salary"/>
    <x v="2"/>
    <x v="1"/>
    <n v="159597"/>
    <x v="5"/>
    <x v="0"/>
    <m/>
    <x v="7"/>
    <x v="827"/>
  </r>
  <r>
    <s v="2025-08-30"/>
    <x v="7"/>
    <s v="Dividends"/>
    <x v="2"/>
    <x v="1"/>
    <n v="131671"/>
    <x v="0"/>
    <x v="0"/>
    <m/>
    <x v="6"/>
    <x v="828"/>
  </r>
  <r>
    <s v="2025-08-31"/>
    <x v="7"/>
    <m/>
    <x v="1"/>
    <x v="0"/>
    <n v="39032"/>
    <x v="2"/>
    <x v="0"/>
    <m/>
    <x v="6"/>
    <x v="829"/>
  </r>
  <r>
    <s v="2025-08-31"/>
    <x v="7"/>
    <s v="Rental Income"/>
    <x v="2"/>
    <x v="1"/>
    <n v="27760"/>
    <x v="1"/>
    <x v="0"/>
    <m/>
    <x v="6"/>
    <x v="830"/>
  </r>
  <r>
    <s v="2025-09-02"/>
    <x v="8"/>
    <m/>
    <x v="3"/>
    <x v="0"/>
    <n v="17623"/>
    <x v="3"/>
    <x v="0"/>
    <m/>
    <x v="3"/>
    <x v="831"/>
  </r>
  <r>
    <s v="2025-09-02"/>
    <x v="8"/>
    <s v="Interest Income"/>
    <x v="2"/>
    <x v="1"/>
    <n v="52929"/>
    <x v="1"/>
    <x v="0"/>
    <m/>
    <x v="7"/>
    <x v="832"/>
  </r>
  <r>
    <s v="2025-09-02"/>
    <x v="8"/>
    <m/>
    <x v="3"/>
    <x v="0"/>
    <n v="12893"/>
    <x v="3"/>
    <x v="0"/>
    <m/>
    <x v="5"/>
    <x v="833"/>
  </r>
  <r>
    <s v="2025-09-02"/>
    <x v="8"/>
    <s v="Freelancing"/>
    <x v="2"/>
    <x v="1"/>
    <n v="94125"/>
    <x v="0"/>
    <x v="0"/>
    <m/>
    <x v="9"/>
    <x v="834"/>
  </r>
  <r>
    <s v="2025-09-03"/>
    <x v="8"/>
    <m/>
    <x v="4"/>
    <x v="0"/>
    <n v="3262"/>
    <x v="4"/>
    <x v="0"/>
    <m/>
    <x v="0"/>
    <x v="835"/>
  </r>
  <r>
    <s v="2025-09-03"/>
    <x v="8"/>
    <s v="Dividends"/>
    <x v="2"/>
    <x v="1"/>
    <n v="176378"/>
    <x v="4"/>
    <x v="0"/>
    <m/>
    <x v="9"/>
    <x v="836"/>
  </r>
  <r>
    <s v="2025-09-04"/>
    <x v="8"/>
    <m/>
    <x v="8"/>
    <x v="0"/>
    <n v="4381"/>
    <x v="5"/>
    <x v="0"/>
    <m/>
    <x v="5"/>
    <x v="837"/>
  </r>
  <r>
    <s v="2025-09-05"/>
    <x v="8"/>
    <s v="Freelancing"/>
    <x v="2"/>
    <x v="1"/>
    <n v="94015"/>
    <x v="1"/>
    <x v="0"/>
    <m/>
    <x v="5"/>
    <x v="838"/>
  </r>
  <r>
    <s v="2025-09-06"/>
    <x v="8"/>
    <m/>
    <x v="8"/>
    <x v="0"/>
    <n v="5663"/>
    <x v="2"/>
    <x v="0"/>
    <m/>
    <x v="4"/>
    <x v="839"/>
  </r>
  <r>
    <s v="2025-09-09"/>
    <x v="8"/>
    <m/>
    <x v="4"/>
    <x v="0"/>
    <n v="11601"/>
    <x v="3"/>
    <x v="0"/>
    <m/>
    <x v="4"/>
    <x v="840"/>
  </r>
  <r>
    <s v="2025-09-11"/>
    <x v="8"/>
    <m/>
    <x v="8"/>
    <x v="0"/>
    <n v="3514"/>
    <x v="3"/>
    <x v="0"/>
    <m/>
    <x v="3"/>
    <x v="841"/>
  </r>
  <r>
    <s v="2025-09-12"/>
    <x v="8"/>
    <m/>
    <x v="2"/>
    <x v="2"/>
    <n v="57947"/>
    <x v="5"/>
    <x v="4"/>
    <n v="9.7200000000000006"/>
    <x v="5"/>
    <x v="842"/>
  </r>
  <r>
    <s v="2025-09-13"/>
    <x v="8"/>
    <m/>
    <x v="2"/>
    <x v="2"/>
    <n v="16012"/>
    <x v="1"/>
    <x v="1"/>
    <n v="18.45"/>
    <x v="9"/>
    <x v="843"/>
  </r>
  <r>
    <s v="2025-09-14"/>
    <x v="8"/>
    <m/>
    <x v="2"/>
    <x v="2"/>
    <n v="24355"/>
    <x v="4"/>
    <x v="6"/>
    <n v="26.58"/>
    <x v="9"/>
    <x v="844"/>
  </r>
  <r>
    <s v="2025-09-15"/>
    <x v="8"/>
    <m/>
    <x v="2"/>
    <x v="2"/>
    <n v="36054"/>
    <x v="5"/>
    <x v="1"/>
    <n v="-13.76"/>
    <x v="9"/>
    <x v="845"/>
  </r>
  <r>
    <s v="2025-09-15"/>
    <x v="8"/>
    <s v="Business"/>
    <x v="2"/>
    <x v="1"/>
    <n v="152139"/>
    <x v="1"/>
    <x v="0"/>
    <m/>
    <x v="4"/>
    <x v="846"/>
  </r>
  <r>
    <s v="2025-09-15"/>
    <x v="8"/>
    <m/>
    <x v="2"/>
    <x v="2"/>
    <n v="74721"/>
    <x v="5"/>
    <x v="2"/>
    <n v="2.11"/>
    <x v="9"/>
    <x v="847"/>
  </r>
  <r>
    <s v="2025-09-16"/>
    <x v="8"/>
    <m/>
    <x v="2"/>
    <x v="2"/>
    <n v="189079"/>
    <x v="2"/>
    <x v="5"/>
    <n v="-4.6399999999999997"/>
    <x v="5"/>
    <x v="848"/>
  </r>
  <r>
    <s v="2025-09-16"/>
    <x v="8"/>
    <m/>
    <x v="3"/>
    <x v="0"/>
    <n v="9642"/>
    <x v="2"/>
    <x v="0"/>
    <m/>
    <x v="9"/>
    <x v="849"/>
  </r>
  <r>
    <s v="2025-09-18"/>
    <x v="8"/>
    <m/>
    <x v="2"/>
    <x v="2"/>
    <n v="70329"/>
    <x v="2"/>
    <x v="1"/>
    <n v="-14.66"/>
    <x v="9"/>
    <x v="850"/>
  </r>
  <r>
    <s v="2025-09-18"/>
    <x v="8"/>
    <m/>
    <x v="2"/>
    <x v="2"/>
    <n v="96342"/>
    <x v="1"/>
    <x v="1"/>
    <n v="-12.32"/>
    <x v="7"/>
    <x v="851"/>
  </r>
  <r>
    <s v="2025-09-18"/>
    <x v="8"/>
    <m/>
    <x v="5"/>
    <x v="0"/>
    <n v="5656"/>
    <x v="4"/>
    <x v="0"/>
    <m/>
    <x v="5"/>
    <x v="852"/>
  </r>
  <r>
    <s v="2025-09-18"/>
    <x v="8"/>
    <s v="Dividends"/>
    <x v="2"/>
    <x v="1"/>
    <n v="119190"/>
    <x v="1"/>
    <x v="0"/>
    <m/>
    <x v="2"/>
    <x v="853"/>
  </r>
  <r>
    <s v="2025-09-18"/>
    <x v="8"/>
    <m/>
    <x v="3"/>
    <x v="0"/>
    <n v="20041"/>
    <x v="1"/>
    <x v="0"/>
    <m/>
    <x v="1"/>
    <x v="854"/>
  </r>
  <r>
    <s v="2025-09-20"/>
    <x v="8"/>
    <m/>
    <x v="4"/>
    <x v="0"/>
    <n v="7610"/>
    <x v="1"/>
    <x v="0"/>
    <m/>
    <x v="5"/>
    <x v="855"/>
  </r>
  <r>
    <s v="2025-09-20"/>
    <x v="8"/>
    <s v="Interest Income"/>
    <x v="2"/>
    <x v="1"/>
    <n v="156944"/>
    <x v="0"/>
    <x v="0"/>
    <m/>
    <x v="3"/>
    <x v="856"/>
  </r>
  <r>
    <s v="2025-09-21"/>
    <x v="8"/>
    <m/>
    <x v="4"/>
    <x v="0"/>
    <n v="9996"/>
    <x v="2"/>
    <x v="0"/>
    <m/>
    <x v="5"/>
    <x v="857"/>
  </r>
  <r>
    <s v="2025-09-21"/>
    <x v="8"/>
    <m/>
    <x v="4"/>
    <x v="0"/>
    <n v="5431"/>
    <x v="0"/>
    <x v="0"/>
    <m/>
    <x v="1"/>
    <x v="858"/>
  </r>
  <r>
    <s v="2025-09-22"/>
    <x v="8"/>
    <m/>
    <x v="0"/>
    <x v="0"/>
    <n v="18254"/>
    <x v="0"/>
    <x v="0"/>
    <m/>
    <x v="9"/>
    <x v="859"/>
  </r>
  <r>
    <s v="2025-09-23"/>
    <x v="8"/>
    <m/>
    <x v="2"/>
    <x v="2"/>
    <n v="33047"/>
    <x v="2"/>
    <x v="2"/>
    <n v="-7.2"/>
    <x v="6"/>
    <x v="860"/>
  </r>
  <r>
    <s v="2025-09-23"/>
    <x v="8"/>
    <s v="Salary"/>
    <x v="2"/>
    <x v="1"/>
    <n v="33451"/>
    <x v="5"/>
    <x v="0"/>
    <m/>
    <x v="8"/>
    <x v="861"/>
  </r>
  <r>
    <s v="2025-09-24"/>
    <x v="8"/>
    <s v="Salary"/>
    <x v="2"/>
    <x v="1"/>
    <n v="86330"/>
    <x v="3"/>
    <x v="0"/>
    <m/>
    <x v="2"/>
    <x v="862"/>
  </r>
  <r>
    <s v="2025-09-25"/>
    <x v="8"/>
    <m/>
    <x v="7"/>
    <x v="0"/>
    <n v="619"/>
    <x v="4"/>
    <x v="0"/>
    <m/>
    <x v="4"/>
    <x v="863"/>
  </r>
  <r>
    <s v="2025-09-26"/>
    <x v="8"/>
    <s v="Freelancing"/>
    <x v="2"/>
    <x v="1"/>
    <n v="98305"/>
    <x v="3"/>
    <x v="0"/>
    <m/>
    <x v="3"/>
    <x v="864"/>
  </r>
  <r>
    <s v="2025-09-27"/>
    <x v="8"/>
    <m/>
    <x v="3"/>
    <x v="0"/>
    <n v="5824"/>
    <x v="1"/>
    <x v="0"/>
    <m/>
    <x v="2"/>
    <x v="865"/>
  </r>
  <r>
    <s v="2025-09-27"/>
    <x v="8"/>
    <s v="Dividends"/>
    <x v="2"/>
    <x v="1"/>
    <n v="41013"/>
    <x v="1"/>
    <x v="0"/>
    <m/>
    <x v="1"/>
    <x v="866"/>
  </r>
  <r>
    <s v="2025-09-27"/>
    <x v="8"/>
    <m/>
    <x v="8"/>
    <x v="0"/>
    <n v="7712"/>
    <x v="5"/>
    <x v="0"/>
    <m/>
    <x v="2"/>
    <x v="867"/>
  </r>
  <r>
    <s v="2025-09-28"/>
    <x v="8"/>
    <s v="Freelancing"/>
    <x v="2"/>
    <x v="1"/>
    <n v="139141"/>
    <x v="4"/>
    <x v="0"/>
    <m/>
    <x v="8"/>
    <x v="868"/>
  </r>
  <r>
    <s v="2025-09-30"/>
    <x v="8"/>
    <m/>
    <x v="6"/>
    <x v="0"/>
    <n v="29532"/>
    <x v="4"/>
    <x v="0"/>
    <m/>
    <x v="7"/>
    <x v="869"/>
  </r>
  <r>
    <s v="2025-10-01"/>
    <x v="9"/>
    <m/>
    <x v="8"/>
    <x v="0"/>
    <n v="6740"/>
    <x v="2"/>
    <x v="0"/>
    <m/>
    <x v="7"/>
    <x v="870"/>
  </r>
  <r>
    <s v="2025-10-02"/>
    <x v="9"/>
    <m/>
    <x v="3"/>
    <x v="0"/>
    <n v="14565"/>
    <x v="4"/>
    <x v="0"/>
    <m/>
    <x v="8"/>
    <x v="871"/>
  </r>
  <r>
    <s v="2025-10-03"/>
    <x v="9"/>
    <s v="Bonus"/>
    <x v="2"/>
    <x v="1"/>
    <n v="35311"/>
    <x v="4"/>
    <x v="0"/>
    <m/>
    <x v="9"/>
    <x v="872"/>
  </r>
  <r>
    <s v="2025-10-04"/>
    <x v="9"/>
    <m/>
    <x v="5"/>
    <x v="0"/>
    <n v="6660"/>
    <x v="3"/>
    <x v="0"/>
    <m/>
    <x v="6"/>
    <x v="873"/>
  </r>
  <r>
    <s v="2025-10-08"/>
    <x v="9"/>
    <m/>
    <x v="6"/>
    <x v="0"/>
    <n v="29606"/>
    <x v="0"/>
    <x v="0"/>
    <m/>
    <x v="7"/>
    <x v="874"/>
  </r>
  <r>
    <s v="2025-10-08"/>
    <x v="9"/>
    <s v="Freelancing"/>
    <x v="2"/>
    <x v="1"/>
    <n v="31541"/>
    <x v="4"/>
    <x v="0"/>
    <m/>
    <x v="3"/>
    <x v="875"/>
  </r>
  <r>
    <s v="2025-10-09"/>
    <x v="9"/>
    <m/>
    <x v="4"/>
    <x v="0"/>
    <n v="3685"/>
    <x v="1"/>
    <x v="0"/>
    <m/>
    <x v="6"/>
    <x v="876"/>
  </r>
  <r>
    <s v="2025-10-10"/>
    <x v="9"/>
    <m/>
    <x v="0"/>
    <x v="0"/>
    <n v="15943"/>
    <x v="3"/>
    <x v="0"/>
    <m/>
    <x v="6"/>
    <x v="877"/>
  </r>
  <r>
    <s v="2025-10-12"/>
    <x v="9"/>
    <m/>
    <x v="2"/>
    <x v="2"/>
    <n v="32802"/>
    <x v="5"/>
    <x v="3"/>
    <n v="-0.04"/>
    <x v="4"/>
    <x v="878"/>
  </r>
  <r>
    <s v="2025-10-12"/>
    <x v="9"/>
    <m/>
    <x v="8"/>
    <x v="0"/>
    <n v="4655"/>
    <x v="4"/>
    <x v="0"/>
    <m/>
    <x v="6"/>
    <x v="879"/>
  </r>
  <r>
    <s v="2025-10-12"/>
    <x v="9"/>
    <m/>
    <x v="4"/>
    <x v="0"/>
    <n v="9391"/>
    <x v="1"/>
    <x v="0"/>
    <m/>
    <x v="3"/>
    <x v="880"/>
  </r>
  <r>
    <s v="2025-10-13"/>
    <x v="9"/>
    <s v="Business"/>
    <x v="2"/>
    <x v="1"/>
    <n v="50855"/>
    <x v="4"/>
    <x v="0"/>
    <m/>
    <x v="8"/>
    <x v="881"/>
  </r>
  <r>
    <s v="2025-10-14"/>
    <x v="9"/>
    <s v="Freelancing"/>
    <x v="2"/>
    <x v="1"/>
    <n v="36675"/>
    <x v="3"/>
    <x v="0"/>
    <m/>
    <x v="2"/>
    <x v="882"/>
  </r>
  <r>
    <s v="2025-10-16"/>
    <x v="9"/>
    <s v="Dividends"/>
    <x v="2"/>
    <x v="1"/>
    <n v="87097"/>
    <x v="1"/>
    <x v="0"/>
    <m/>
    <x v="1"/>
    <x v="883"/>
  </r>
  <r>
    <s v="2025-10-16"/>
    <x v="9"/>
    <m/>
    <x v="2"/>
    <x v="2"/>
    <n v="42586"/>
    <x v="2"/>
    <x v="1"/>
    <n v="-7.51"/>
    <x v="0"/>
    <x v="884"/>
  </r>
  <r>
    <s v="2025-10-16"/>
    <x v="9"/>
    <s v="Rental Income"/>
    <x v="2"/>
    <x v="1"/>
    <n v="124039"/>
    <x v="5"/>
    <x v="0"/>
    <m/>
    <x v="6"/>
    <x v="885"/>
  </r>
  <r>
    <s v="2025-10-17"/>
    <x v="9"/>
    <m/>
    <x v="3"/>
    <x v="0"/>
    <n v="22933"/>
    <x v="5"/>
    <x v="0"/>
    <m/>
    <x v="6"/>
    <x v="886"/>
  </r>
  <r>
    <s v="2025-10-17"/>
    <x v="9"/>
    <m/>
    <x v="5"/>
    <x v="0"/>
    <n v="2339"/>
    <x v="4"/>
    <x v="0"/>
    <m/>
    <x v="9"/>
    <x v="887"/>
  </r>
  <r>
    <s v="2025-10-17"/>
    <x v="9"/>
    <m/>
    <x v="2"/>
    <x v="2"/>
    <n v="14822"/>
    <x v="2"/>
    <x v="6"/>
    <n v="12.14"/>
    <x v="2"/>
    <x v="888"/>
  </r>
  <r>
    <s v="2025-10-18"/>
    <x v="9"/>
    <m/>
    <x v="2"/>
    <x v="2"/>
    <n v="20933"/>
    <x v="0"/>
    <x v="2"/>
    <n v="7.81"/>
    <x v="0"/>
    <x v="889"/>
  </r>
  <r>
    <s v="2025-10-19"/>
    <x v="9"/>
    <m/>
    <x v="0"/>
    <x v="0"/>
    <n v="2871"/>
    <x v="0"/>
    <x v="0"/>
    <m/>
    <x v="4"/>
    <x v="890"/>
  </r>
  <r>
    <s v="2025-10-20"/>
    <x v="9"/>
    <m/>
    <x v="4"/>
    <x v="0"/>
    <n v="11279"/>
    <x v="4"/>
    <x v="0"/>
    <m/>
    <x v="7"/>
    <x v="891"/>
  </r>
  <r>
    <s v="2025-10-22"/>
    <x v="9"/>
    <m/>
    <x v="0"/>
    <x v="0"/>
    <n v="18887"/>
    <x v="0"/>
    <x v="0"/>
    <m/>
    <x v="0"/>
    <x v="892"/>
  </r>
  <r>
    <s v="2025-10-22"/>
    <x v="9"/>
    <m/>
    <x v="6"/>
    <x v="0"/>
    <n v="42613"/>
    <x v="0"/>
    <x v="0"/>
    <m/>
    <x v="1"/>
    <x v="893"/>
  </r>
  <r>
    <s v="2025-10-23"/>
    <x v="9"/>
    <m/>
    <x v="1"/>
    <x v="0"/>
    <n v="52965"/>
    <x v="0"/>
    <x v="0"/>
    <m/>
    <x v="8"/>
    <x v="894"/>
  </r>
  <r>
    <s v="2025-10-23"/>
    <x v="9"/>
    <m/>
    <x v="5"/>
    <x v="0"/>
    <n v="6970"/>
    <x v="1"/>
    <x v="0"/>
    <m/>
    <x v="7"/>
    <x v="895"/>
  </r>
  <r>
    <s v="2025-10-24"/>
    <x v="9"/>
    <s v="Interest Income"/>
    <x v="2"/>
    <x v="1"/>
    <n v="17218"/>
    <x v="1"/>
    <x v="0"/>
    <m/>
    <x v="9"/>
    <x v="896"/>
  </r>
  <r>
    <s v="2025-10-24"/>
    <x v="9"/>
    <m/>
    <x v="2"/>
    <x v="2"/>
    <n v="46960"/>
    <x v="3"/>
    <x v="3"/>
    <n v="-8.39"/>
    <x v="4"/>
    <x v="897"/>
  </r>
  <r>
    <s v="2025-10-25"/>
    <x v="9"/>
    <s v="Interest Income"/>
    <x v="2"/>
    <x v="1"/>
    <n v="58084"/>
    <x v="4"/>
    <x v="0"/>
    <m/>
    <x v="1"/>
    <x v="898"/>
  </r>
  <r>
    <s v="2025-10-26"/>
    <x v="9"/>
    <m/>
    <x v="4"/>
    <x v="0"/>
    <n v="1042"/>
    <x v="0"/>
    <x v="0"/>
    <m/>
    <x v="9"/>
    <x v="899"/>
  </r>
  <r>
    <s v="2025-10-26"/>
    <x v="9"/>
    <m/>
    <x v="5"/>
    <x v="0"/>
    <n v="6277"/>
    <x v="5"/>
    <x v="0"/>
    <m/>
    <x v="0"/>
    <x v="900"/>
  </r>
  <r>
    <s v="2025-10-26"/>
    <x v="9"/>
    <m/>
    <x v="0"/>
    <x v="0"/>
    <n v="16963"/>
    <x v="4"/>
    <x v="0"/>
    <m/>
    <x v="8"/>
    <x v="901"/>
  </r>
  <r>
    <s v="2025-10-27"/>
    <x v="9"/>
    <m/>
    <x v="5"/>
    <x v="0"/>
    <n v="964"/>
    <x v="4"/>
    <x v="0"/>
    <m/>
    <x v="4"/>
    <x v="902"/>
  </r>
  <r>
    <s v="2025-10-27"/>
    <x v="9"/>
    <s v="Business"/>
    <x v="2"/>
    <x v="1"/>
    <n v="70851"/>
    <x v="4"/>
    <x v="0"/>
    <m/>
    <x v="5"/>
    <x v="903"/>
  </r>
  <r>
    <s v="2025-10-28"/>
    <x v="9"/>
    <s v="Business"/>
    <x v="2"/>
    <x v="1"/>
    <n v="99192"/>
    <x v="5"/>
    <x v="0"/>
    <m/>
    <x v="6"/>
    <x v="904"/>
  </r>
  <r>
    <s v="2025-10-28"/>
    <x v="9"/>
    <m/>
    <x v="2"/>
    <x v="2"/>
    <n v="81757"/>
    <x v="4"/>
    <x v="2"/>
    <n v="-1.21"/>
    <x v="1"/>
    <x v="905"/>
  </r>
  <r>
    <s v="2025-10-28"/>
    <x v="9"/>
    <m/>
    <x v="3"/>
    <x v="0"/>
    <n v="5829"/>
    <x v="3"/>
    <x v="0"/>
    <m/>
    <x v="8"/>
    <x v="906"/>
  </r>
  <r>
    <s v="2025-10-29"/>
    <x v="9"/>
    <s v="Salary"/>
    <x v="2"/>
    <x v="1"/>
    <n v="79823"/>
    <x v="1"/>
    <x v="0"/>
    <m/>
    <x v="6"/>
    <x v="907"/>
  </r>
  <r>
    <s v="2025-10-29"/>
    <x v="9"/>
    <m/>
    <x v="5"/>
    <x v="0"/>
    <n v="1686"/>
    <x v="2"/>
    <x v="0"/>
    <m/>
    <x v="2"/>
    <x v="908"/>
  </r>
  <r>
    <s v="2025-10-30"/>
    <x v="9"/>
    <s v="Business"/>
    <x v="2"/>
    <x v="1"/>
    <n v="173698"/>
    <x v="4"/>
    <x v="0"/>
    <m/>
    <x v="2"/>
    <x v="909"/>
  </r>
  <r>
    <s v="2025-10-30"/>
    <x v="9"/>
    <m/>
    <x v="2"/>
    <x v="2"/>
    <n v="43542"/>
    <x v="3"/>
    <x v="3"/>
    <n v="18.43"/>
    <x v="6"/>
    <x v="910"/>
  </r>
  <r>
    <s v="2025-10-31"/>
    <x v="9"/>
    <m/>
    <x v="2"/>
    <x v="2"/>
    <n v="35860"/>
    <x v="1"/>
    <x v="3"/>
    <n v="-4.18"/>
    <x v="7"/>
    <x v="911"/>
  </r>
  <r>
    <s v="2025-11-01"/>
    <x v="10"/>
    <m/>
    <x v="3"/>
    <x v="0"/>
    <n v="14592"/>
    <x v="3"/>
    <x v="0"/>
    <m/>
    <x v="1"/>
    <x v="912"/>
  </r>
  <r>
    <s v="2025-11-01"/>
    <x v="10"/>
    <m/>
    <x v="3"/>
    <x v="0"/>
    <n v="22449"/>
    <x v="5"/>
    <x v="0"/>
    <m/>
    <x v="7"/>
    <x v="913"/>
  </r>
  <r>
    <s v="2025-11-01"/>
    <x v="10"/>
    <m/>
    <x v="8"/>
    <x v="0"/>
    <n v="6453"/>
    <x v="0"/>
    <x v="0"/>
    <m/>
    <x v="1"/>
    <x v="914"/>
  </r>
  <r>
    <s v="2025-11-02"/>
    <x v="10"/>
    <s v="Bonus"/>
    <x v="2"/>
    <x v="1"/>
    <n v="71095"/>
    <x v="1"/>
    <x v="0"/>
    <m/>
    <x v="7"/>
    <x v="915"/>
  </r>
  <r>
    <s v="2025-11-02"/>
    <x v="10"/>
    <m/>
    <x v="7"/>
    <x v="0"/>
    <n v="3318"/>
    <x v="1"/>
    <x v="0"/>
    <m/>
    <x v="3"/>
    <x v="916"/>
  </r>
  <r>
    <s v="2025-11-03"/>
    <x v="10"/>
    <s v="Rental Income"/>
    <x v="2"/>
    <x v="1"/>
    <n v="29656"/>
    <x v="1"/>
    <x v="0"/>
    <m/>
    <x v="0"/>
    <x v="917"/>
  </r>
  <r>
    <s v="2025-11-04"/>
    <x v="10"/>
    <m/>
    <x v="8"/>
    <x v="0"/>
    <n v="8759"/>
    <x v="3"/>
    <x v="0"/>
    <m/>
    <x v="2"/>
    <x v="918"/>
  </r>
  <r>
    <s v="2025-11-05"/>
    <x v="10"/>
    <s v="Rental Income"/>
    <x v="2"/>
    <x v="1"/>
    <n v="177335"/>
    <x v="5"/>
    <x v="0"/>
    <m/>
    <x v="8"/>
    <x v="919"/>
  </r>
  <r>
    <s v="2025-11-05"/>
    <x v="10"/>
    <m/>
    <x v="2"/>
    <x v="2"/>
    <n v="138724"/>
    <x v="1"/>
    <x v="2"/>
    <n v="11.1"/>
    <x v="2"/>
    <x v="920"/>
  </r>
  <r>
    <s v="2025-11-05"/>
    <x v="10"/>
    <m/>
    <x v="2"/>
    <x v="2"/>
    <n v="29886"/>
    <x v="3"/>
    <x v="4"/>
    <n v="7.54"/>
    <x v="7"/>
    <x v="921"/>
  </r>
  <r>
    <s v="2025-11-06"/>
    <x v="10"/>
    <m/>
    <x v="4"/>
    <x v="0"/>
    <n v="11532"/>
    <x v="5"/>
    <x v="0"/>
    <m/>
    <x v="3"/>
    <x v="922"/>
  </r>
  <r>
    <s v="2025-11-06"/>
    <x v="10"/>
    <s v="Rental Income"/>
    <x v="2"/>
    <x v="1"/>
    <n v="156370"/>
    <x v="0"/>
    <x v="0"/>
    <m/>
    <x v="2"/>
    <x v="923"/>
  </r>
  <r>
    <s v="2025-11-07"/>
    <x v="10"/>
    <m/>
    <x v="0"/>
    <x v="0"/>
    <n v="10146"/>
    <x v="5"/>
    <x v="0"/>
    <m/>
    <x v="6"/>
    <x v="924"/>
  </r>
  <r>
    <s v="2025-11-07"/>
    <x v="10"/>
    <m/>
    <x v="5"/>
    <x v="0"/>
    <n v="6737"/>
    <x v="1"/>
    <x v="0"/>
    <m/>
    <x v="8"/>
    <x v="925"/>
  </r>
  <r>
    <s v="2025-11-08"/>
    <x v="10"/>
    <m/>
    <x v="2"/>
    <x v="2"/>
    <n v="114447"/>
    <x v="1"/>
    <x v="2"/>
    <n v="-10.06"/>
    <x v="5"/>
    <x v="926"/>
  </r>
  <r>
    <s v="2025-11-08"/>
    <x v="10"/>
    <m/>
    <x v="1"/>
    <x v="0"/>
    <n v="14085"/>
    <x v="0"/>
    <x v="0"/>
    <m/>
    <x v="6"/>
    <x v="927"/>
  </r>
  <r>
    <s v="2025-11-08"/>
    <x v="10"/>
    <s v="Interest Income"/>
    <x v="2"/>
    <x v="1"/>
    <n v="20175"/>
    <x v="0"/>
    <x v="0"/>
    <m/>
    <x v="8"/>
    <x v="928"/>
  </r>
  <r>
    <s v="2025-11-08"/>
    <x v="10"/>
    <s v="Rental Income"/>
    <x v="2"/>
    <x v="1"/>
    <n v="85772"/>
    <x v="2"/>
    <x v="0"/>
    <m/>
    <x v="0"/>
    <x v="929"/>
  </r>
  <r>
    <s v="2025-11-08"/>
    <x v="10"/>
    <s v="Dividends"/>
    <x v="2"/>
    <x v="1"/>
    <n v="35988"/>
    <x v="1"/>
    <x v="0"/>
    <m/>
    <x v="5"/>
    <x v="930"/>
  </r>
  <r>
    <s v="2025-11-09"/>
    <x v="10"/>
    <s v="Dividends"/>
    <x v="2"/>
    <x v="1"/>
    <n v="171538"/>
    <x v="0"/>
    <x v="0"/>
    <m/>
    <x v="6"/>
    <x v="931"/>
  </r>
  <r>
    <s v="2025-11-09"/>
    <x v="10"/>
    <m/>
    <x v="2"/>
    <x v="2"/>
    <n v="48214"/>
    <x v="0"/>
    <x v="1"/>
    <n v="22.16"/>
    <x v="9"/>
    <x v="932"/>
  </r>
  <r>
    <s v="2025-11-10"/>
    <x v="10"/>
    <s v="Freelancing"/>
    <x v="2"/>
    <x v="1"/>
    <n v="84328"/>
    <x v="0"/>
    <x v="0"/>
    <m/>
    <x v="8"/>
    <x v="933"/>
  </r>
  <r>
    <s v="2025-11-11"/>
    <x v="10"/>
    <m/>
    <x v="2"/>
    <x v="2"/>
    <n v="92291"/>
    <x v="0"/>
    <x v="5"/>
    <n v="13.53"/>
    <x v="9"/>
    <x v="934"/>
  </r>
  <r>
    <s v="2025-11-14"/>
    <x v="10"/>
    <m/>
    <x v="6"/>
    <x v="0"/>
    <n v="44044"/>
    <x v="2"/>
    <x v="0"/>
    <m/>
    <x v="9"/>
    <x v="935"/>
  </r>
  <r>
    <s v="2025-11-15"/>
    <x v="10"/>
    <m/>
    <x v="2"/>
    <x v="2"/>
    <n v="28022"/>
    <x v="0"/>
    <x v="3"/>
    <n v="22.06"/>
    <x v="2"/>
    <x v="936"/>
  </r>
  <r>
    <s v="2025-11-15"/>
    <x v="10"/>
    <s v="Salary"/>
    <x v="2"/>
    <x v="1"/>
    <n v="123106"/>
    <x v="1"/>
    <x v="0"/>
    <m/>
    <x v="1"/>
    <x v="937"/>
  </r>
  <r>
    <s v="2025-11-17"/>
    <x v="10"/>
    <s v="Freelancing"/>
    <x v="2"/>
    <x v="1"/>
    <n v="101456"/>
    <x v="3"/>
    <x v="0"/>
    <m/>
    <x v="3"/>
    <x v="938"/>
  </r>
  <r>
    <s v="2025-11-17"/>
    <x v="10"/>
    <s v="Business"/>
    <x v="2"/>
    <x v="1"/>
    <n v="57188"/>
    <x v="5"/>
    <x v="0"/>
    <m/>
    <x v="9"/>
    <x v="939"/>
  </r>
  <r>
    <s v="2025-11-18"/>
    <x v="10"/>
    <m/>
    <x v="1"/>
    <x v="0"/>
    <n v="14689"/>
    <x v="5"/>
    <x v="0"/>
    <m/>
    <x v="9"/>
    <x v="940"/>
  </r>
  <r>
    <s v="2025-11-19"/>
    <x v="10"/>
    <s v="Dividends"/>
    <x v="2"/>
    <x v="1"/>
    <n v="61612"/>
    <x v="2"/>
    <x v="0"/>
    <m/>
    <x v="7"/>
    <x v="941"/>
  </r>
  <r>
    <s v="2025-11-20"/>
    <x v="10"/>
    <s v="Salary"/>
    <x v="2"/>
    <x v="1"/>
    <n v="177096"/>
    <x v="0"/>
    <x v="0"/>
    <m/>
    <x v="0"/>
    <x v="942"/>
  </r>
  <r>
    <s v="2025-11-21"/>
    <x v="10"/>
    <m/>
    <x v="3"/>
    <x v="0"/>
    <n v="24773"/>
    <x v="2"/>
    <x v="0"/>
    <m/>
    <x v="6"/>
    <x v="943"/>
  </r>
  <r>
    <s v="2025-11-23"/>
    <x v="10"/>
    <m/>
    <x v="0"/>
    <x v="0"/>
    <n v="11609"/>
    <x v="1"/>
    <x v="0"/>
    <m/>
    <x v="9"/>
    <x v="944"/>
  </r>
  <r>
    <s v="2025-11-24"/>
    <x v="10"/>
    <m/>
    <x v="2"/>
    <x v="2"/>
    <n v="13577"/>
    <x v="1"/>
    <x v="6"/>
    <n v="17.489999999999998"/>
    <x v="8"/>
    <x v="945"/>
  </r>
  <r>
    <s v="2025-11-24"/>
    <x v="10"/>
    <s v="Interest Income"/>
    <x v="2"/>
    <x v="1"/>
    <n v="60578"/>
    <x v="0"/>
    <x v="0"/>
    <m/>
    <x v="2"/>
    <x v="946"/>
  </r>
  <r>
    <s v="2025-11-24"/>
    <x v="10"/>
    <m/>
    <x v="0"/>
    <x v="0"/>
    <n v="19452"/>
    <x v="0"/>
    <x v="0"/>
    <m/>
    <x v="6"/>
    <x v="947"/>
  </r>
  <r>
    <s v="2025-11-25"/>
    <x v="10"/>
    <m/>
    <x v="5"/>
    <x v="0"/>
    <n v="6128"/>
    <x v="4"/>
    <x v="0"/>
    <m/>
    <x v="0"/>
    <x v="948"/>
  </r>
  <r>
    <s v="2025-11-25"/>
    <x v="10"/>
    <m/>
    <x v="7"/>
    <x v="0"/>
    <n v="667"/>
    <x v="0"/>
    <x v="0"/>
    <m/>
    <x v="1"/>
    <x v="949"/>
  </r>
  <r>
    <s v="2025-11-27"/>
    <x v="10"/>
    <m/>
    <x v="6"/>
    <x v="0"/>
    <n v="33216"/>
    <x v="3"/>
    <x v="0"/>
    <m/>
    <x v="0"/>
    <x v="950"/>
  </r>
  <r>
    <s v="2025-11-29"/>
    <x v="10"/>
    <m/>
    <x v="2"/>
    <x v="2"/>
    <n v="22003"/>
    <x v="5"/>
    <x v="6"/>
    <n v="-0.37"/>
    <x v="2"/>
    <x v="951"/>
  </r>
  <r>
    <s v="2025-12-01"/>
    <x v="11"/>
    <m/>
    <x v="2"/>
    <x v="2"/>
    <n v="157720"/>
    <x v="1"/>
    <x v="5"/>
    <n v="13.3"/>
    <x v="4"/>
    <x v="952"/>
  </r>
  <r>
    <s v="2025-12-01"/>
    <x v="11"/>
    <m/>
    <x v="5"/>
    <x v="0"/>
    <n v="2134"/>
    <x v="2"/>
    <x v="0"/>
    <m/>
    <x v="9"/>
    <x v="953"/>
  </r>
  <r>
    <s v="2025-12-01"/>
    <x v="11"/>
    <m/>
    <x v="2"/>
    <x v="2"/>
    <n v="84002"/>
    <x v="2"/>
    <x v="2"/>
    <n v="14.61"/>
    <x v="5"/>
    <x v="954"/>
  </r>
  <r>
    <s v="2025-12-02"/>
    <x v="11"/>
    <m/>
    <x v="6"/>
    <x v="0"/>
    <n v="21472"/>
    <x v="2"/>
    <x v="0"/>
    <m/>
    <x v="2"/>
    <x v="955"/>
  </r>
  <r>
    <s v="2025-12-03"/>
    <x v="11"/>
    <m/>
    <x v="7"/>
    <x v="0"/>
    <n v="1030"/>
    <x v="5"/>
    <x v="0"/>
    <m/>
    <x v="5"/>
    <x v="956"/>
  </r>
  <r>
    <s v="2025-12-03"/>
    <x v="11"/>
    <m/>
    <x v="1"/>
    <x v="0"/>
    <n v="45031"/>
    <x v="5"/>
    <x v="0"/>
    <m/>
    <x v="7"/>
    <x v="957"/>
  </r>
  <r>
    <s v="2025-12-03"/>
    <x v="11"/>
    <m/>
    <x v="7"/>
    <x v="0"/>
    <n v="394"/>
    <x v="5"/>
    <x v="0"/>
    <m/>
    <x v="5"/>
    <x v="958"/>
  </r>
  <r>
    <s v="2025-12-04"/>
    <x v="11"/>
    <m/>
    <x v="2"/>
    <x v="2"/>
    <n v="17062"/>
    <x v="1"/>
    <x v="6"/>
    <n v="0.45"/>
    <x v="5"/>
    <x v="959"/>
  </r>
  <r>
    <s v="2025-12-04"/>
    <x v="11"/>
    <s v="Salary"/>
    <x v="2"/>
    <x v="1"/>
    <n v="139938"/>
    <x v="1"/>
    <x v="0"/>
    <m/>
    <x v="7"/>
    <x v="960"/>
  </r>
  <r>
    <s v="2025-12-05"/>
    <x v="11"/>
    <m/>
    <x v="1"/>
    <x v="0"/>
    <n v="18401"/>
    <x v="4"/>
    <x v="0"/>
    <m/>
    <x v="0"/>
    <x v="961"/>
  </r>
  <r>
    <s v="2025-12-06"/>
    <x v="11"/>
    <s v="Freelancing"/>
    <x v="2"/>
    <x v="1"/>
    <n v="15471"/>
    <x v="4"/>
    <x v="0"/>
    <m/>
    <x v="0"/>
    <x v="962"/>
  </r>
  <r>
    <s v="2025-12-07"/>
    <x v="11"/>
    <s v="Freelancing"/>
    <x v="2"/>
    <x v="1"/>
    <n v="141929"/>
    <x v="5"/>
    <x v="0"/>
    <m/>
    <x v="0"/>
    <x v="963"/>
  </r>
  <r>
    <s v="2025-12-08"/>
    <x v="11"/>
    <s v="Dividends"/>
    <x v="2"/>
    <x v="1"/>
    <n v="139575"/>
    <x v="5"/>
    <x v="0"/>
    <m/>
    <x v="4"/>
    <x v="964"/>
  </r>
  <r>
    <s v="2025-12-10"/>
    <x v="11"/>
    <s v="Dividends"/>
    <x v="2"/>
    <x v="1"/>
    <n v="45991"/>
    <x v="3"/>
    <x v="0"/>
    <m/>
    <x v="9"/>
    <x v="965"/>
  </r>
  <r>
    <s v="2025-12-10"/>
    <x v="11"/>
    <m/>
    <x v="0"/>
    <x v="0"/>
    <n v="12999"/>
    <x v="3"/>
    <x v="0"/>
    <m/>
    <x v="4"/>
    <x v="966"/>
  </r>
  <r>
    <s v="2025-12-11"/>
    <x v="11"/>
    <m/>
    <x v="6"/>
    <x v="0"/>
    <n v="31084"/>
    <x v="2"/>
    <x v="0"/>
    <m/>
    <x v="3"/>
    <x v="967"/>
  </r>
  <r>
    <s v="2025-12-11"/>
    <x v="11"/>
    <m/>
    <x v="0"/>
    <x v="0"/>
    <n v="18753"/>
    <x v="3"/>
    <x v="0"/>
    <m/>
    <x v="1"/>
    <x v="968"/>
  </r>
  <r>
    <s v="2025-12-11"/>
    <x v="11"/>
    <m/>
    <x v="5"/>
    <x v="0"/>
    <n v="5512"/>
    <x v="4"/>
    <x v="0"/>
    <m/>
    <x v="7"/>
    <x v="969"/>
  </r>
  <r>
    <s v="2025-12-12"/>
    <x v="11"/>
    <m/>
    <x v="2"/>
    <x v="2"/>
    <n v="15899"/>
    <x v="5"/>
    <x v="6"/>
    <n v="25.86"/>
    <x v="0"/>
    <x v="970"/>
  </r>
  <r>
    <s v="2025-12-13"/>
    <x v="11"/>
    <m/>
    <x v="6"/>
    <x v="0"/>
    <n v="35676"/>
    <x v="4"/>
    <x v="0"/>
    <m/>
    <x v="5"/>
    <x v="971"/>
  </r>
  <r>
    <s v="2025-12-13"/>
    <x v="11"/>
    <m/>
    <x v="3"/>
    <x v="0"/>
    <n v="4903"/>
    <x v="5"/>
    <x v="0"/>
    <m/>
    <x v="3"/>
    <x v="767"/>
  </r>
  <r>
    <s v="2025-12-14"/>
    <x v="11"/>
    <m/>
    <x v="4"/>
    <x v="0"/>
    <n v="5213"/>
    <x v="3"/>
    <x v="0"/>
    <m/>
    <x v="5"/>
    <x v="972"/>
  </r>
  <r>
    <s v="2025-12-14"/>
    <x v="11"/>
    <s v="Dividends"/>
    <x v="2"/>
    <x v="1"/>
    <n v="36133"/>
    <x v="4"/>
    <x v="0"/>
    <m/>
    <x v="6"/>
    <x v="973"/>
  </r>
  <r>
    <s v="2025-12-14"/>
    <x v="11"/>
    <m/>
    <x v="5"/>
    <x v="0"/>
    <n v="5611"/>
    <x v="5"/>
    <x v="0"/>
    <m/>
    <x v="9"/>
    <x v="974"/>
  </r>
  <r>
    <s v="2025-12-14"/>
    <x v="11"/>
    <m/>
    <x v="6"/>
    <x v="0"/>
    <n v="30530"/>
    <x v="2"/>
    <x v="0"/>
    <m/>
    <x v="2"/>
    <x v="975"/>
  </r>
  <r>
    <s v="2025-12-14"/>
    <x v="11"/>
    <m/>
    <x v="7"/>
    <x v="0"/>
    <n v="808"/>
    <x v="3"/>
    <x v="0"/>
    <m/>
    <x v="6"/>
    <x v="976"/>
  </r>
  <r>
    <s v="2025-12-18"/>
    <x v="11"/>
    <s v="Interest Income"/>
    <x v="2"/>
    <x v="1"/>
    <n v="42502"/>
    <x v="2"/>
    <x v="0"/>
    <m/>
    <x v="0"/>
    <x v="977"/>
  </r>
  <r>
    <s v="2025-12-18"/>
    <x v="11"/>
    <m/>
    <x v="2"/>
    <x v="2"/>
    <n v="78311"/>
    <x v="4"/>
    <x v="2"/>
    <n v="-11"/>
    <x v="4"/>
    <x v="978"/>
  </r>
  <r>
    <s v="2025-12-19"/>
    <x v="11"/>
    <m/>
    <x v="2"/>
    <x v="2"/>
    <n v="12661"/>
    <x v="1"/>
    <x v="5"/>
    <n v="7.21"/>
    <x v="8"/>
    <x v="979"/>
  </r>
  <r>
    <s v="2025-12-19"/>
    <x v="11"/>
    <m/>
    <x v="2"/>
    <x v="2"/>
    <n v="165666"/>
    <x v="0"/>
    <x v="5"/>
    <n v="12.44"/>
    <x v="8"/>
    <x v="980"/>
  </r>
  <r>
    <s v="2025-12-19"/>
    <x v="11"/>
    <m/>
    <x v="2"/>
    <x v="2"/>
    <n v="41336"/>
    <x v="1"/>
    <x v="2"/>
    <n v="15.59"/>
    <x v="2"/>
    <x v="981"/>
  </r>
  <r>
    <s v="2025-12-19"/>
    <x v="11"/>
    <s v="Dividends"/>
    <x v="2"/>
    <x v="1"/>
    <n v="17439"/>
    <x v="5"/>
    <x v="0"/>
    <m/>
    <x v="2"/>
    <x v="982"/>
  </r>
  <r>
    <s v="2025-12-19"/>
    <x v="11"/>
    <m/>
    <x v="6"/>
    <x v="0"/>
    <n v="16246"/>
    <x v="3"/>
    <x v="0"/>
    <m/>
    <x v="1"/>
    <x v="983"/>
  </r>
  <r>
    <s v="2025-12-19"/>
    <x v="11"/>
    <m/>
    <x v="7"/>
    <x v="0"/>
    <n v="1650"/>
    <x v="1"/>
    <x v="0"/>
    <m/>
    <x v="0"/>
    <x v="984"/>
  </r>
  <r>
    <s v="2025-12-20"/>
    <x v="11"/>
    <m/>
    <x v="2"/>
    <x v="2"/>
    <n v="47048"/>
    <x v="5"/>
    <x v="3"/>
    <n v="-4.96"/>
    <x v="0"/>
    <x v="985"/>
  </r>
  <r>
    <s v="2025-12-21"/>
    <x v="11"/>
    <s v="Freelancing"/>
    <x v="2"/>
    <x v="1"/>
    <n v="139992"/>
    <x v="0"/>
    <x v="0"/>
    <m/>
    <x v="5"/>
    <x v="986"/>
  </r>
  <r>
    <s v="2025-12-21"/>
    <x v="11"/>
    <m/>
    <x v="4"/>
    <x v="0"/>
    <n v="945"/>
    <x v="2"/>
    <x v="0"/>
    <m/>
    <x v="3"/>
    <x v="987"/>
  </r>
  <r>
    <s v="2025-12-22"/>
    <x v="11"/>
    <s v="Dividends"/>
    <x v="2"/>
    <x v="1"/>
    <n v="58253"/>
    <x v="2"/>
    <x v="0"/>
    <m/>
    <x v="2"/>
    <x v="988"/>
  </r>
  <r>
    <s v="2025-12-23"/>
    <x v="11"/>
    <m/>
    <x v="2"/>
    <x v="2"/>
    <n v="55604"/>
    <x v="4"/>
    <x v="4"/>
    <n v="27.5"/>
    <x v="5"/>
    <x v="989"/>
  </r>
  <r>
    <s v="2025-12-23"/>
    <x v="11"/>
    <m/>
    <x v="7"/>
    <x v="0"/>
    <n v="474"/>
    <x v="0"/>
    <x v="0"/>
    <m/>
    <x v="9"/>
    <x v="990"/>
  </r>
  <r>
    <s v="2025-12-24"/>
    <x v="11"/>
    <m/>
    <x v="8"/>
    <x v="0"/>
    <n v="1897"/>
    <x v="2"/>
    <x v="0"/>
    <m/>
    <x v="2"/>
    <x v="991"/>
  </r>
  <r>
    <s v="2025-12-26"/>
    <x v="11"/>
    <m/>
    <x v="3"/>
    <x v="0"/>
    <n v="12434"/>
    <x v="3"/>
    <x v="0"/>
    <m/>
    <x v="8"/>
    <x v="992"/>
  </r>
  <r>
    <s v="2025-12-26"/>
    <x v="11"/>
    <m/>
    <x v="8"/>
    <x v="0"/>
    <n v="7817"/>
    <x v="0"/>
    <x v="0"/>
    <m/>
    <x v="9"/>
    <x v="993"/>
  </r>
  <r>
    <s v="2025-12-27"/>
    <x v="11"/>
    <s v="Rental Income"/>
    <x v="2"/>
    <x v="1"/>
    <n v="89461"/>
    <x v="0"/>
    <x v="0"/>
    <m/>
    <x v="9"/>
    <x v="994"/>
  </r>
  <r>
    <s v="2025-12-27"/>
    <x v="11"/>
    <m/>
    <x v="7"/>
    <x v="0"/>
    <n v="2517"/>
    <x v="2"/>
    <x v="0"/>
    <m/>
    <x v="8"/>
    <x v="995"/>
  </r>
  <r>
    <s v="2025-12-31"/>
    <x v="11"/>
    <m/>
    <x v="8"/>
    <x v="0"/>
    <n v="7677"/>
    <x v="2"/>
    <x v="0"/>
    <m/>
    <x v="3"/>
    <x v="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3:E17" firstHeaderRow="1" firstDataRow="2" firstDataCol="1"/>
  <pivotFields count="11">
    <pivotField showAll="0"/>
    <pivotField axis="axisRow" showAll="0">
      <items count="13">
        <item x="0"/>
        <item x="1"/>
        <item x="2"/>
        <item x="3"/>
        <item x="4"/>
        <item x="5"/>
        <item x="6"/>
        <item x="7"/>
        <item x="8"/>
        <item x="9"/>
        <item x="10"/>
        <item x="11"/>
        <item t="default"/>
      </items>
    </pivotField>
    <pivotField showAll="0"/>
    <pivotField showAll="0"/>
    <pivotField axis="axisCol" showAll="0">
      <items count="4">
        <item x="0"/>
        <item x="1"/>
        <item x="2"/>
        <item t="default"/>
      </items>
    </pivotField>
    <pivotField showAll="0"/>
    <pivotField showAll="0"/>
    <pivotField showAll="0"/>
    <pivotField showAll="0"/>
    <pivotField showAll="0">
      <items count="11">
        <item x="3"/>
        <item x="5"/>
        <item x="9"/>
        <item x="8"/>
        <item x="1"/>
        <item x="7"/>
        <item x="2"/>
        <item x="0"/>
        <item x="6"/>
        <item x="4"/>
        <item t="default"/>
      </items>
    </pivotField>
    <pivotField dataField="1" showAll="0"/>
  </pivotFields>
  <rowFields count="1">
    <field x="1"/>
  </rowFields>
  <rowItems count="13">
    <i>
      <x/>
    </i>
    <i>
      <x v="1"/>
    </i>
    <i>
      <x v="2"/>
    </i>
    <i>
      <x v="3"/>
    </i>
    <i>
      <x v="4"/>
    </i>
    <i>
      <x v="5"/>
    </i>
    <i>
      <x v="6"/>
    </i>
    <i>
      <x v="7"/>
    </i>
    <i>
      <x v="8"/>
    </i>
    <i>
      <x v="9"/>
    </i>
    <i>
      <x v="10"/>
    </i>
    <i>
      <x v="11"/>
    </i>
    <i t="grand">
      <x/>
    </i>
  </rowItems>
  <colFields count="1">
    <field x="4"/>
  </colFields>
  <colItems count="4">
    <i>
      <x/>
    </i>
    <i>
      <x v="1"/>
    </i>
    <i>
      <x v="2"/>
    </i>
    <i t="grand">
      <x/>
    </i>
  </colItems>
  <dataFields count="1">
    <dataField name="Sum of Net Amount" fld="10" baseField="0" baseItem="0"/>
  </dataFields>
  <chartFormats count="3">
    <chartFormat chart="10" format="6" series="1">
      <pivotArea type="data" outline="0" fieldPosition="0">
        <references count="2">
          <reference field="4294967294" count="1" selected="0">
            <x v="0"/>
          </reference>
          <reference field="4" count="1" selected="0">
            <x v="0"/>
          </reference>
        </references>
      </pivotArea>
    </chartFormat>
    <chartFormat chart="10" format="7" series="1">
      <pivotArea type="data" outline="0" fieldPosition="0">
        <references count="2">
          <reference field="4294967294" count="1" selected="0">
            <x v="0"/>
          </reference>
          <reference field="4" count="1" selected="0">
            <x v="1"/>
          </reference>
        </references>
      </pivotArea>
    </chartFormat>
    <chartFormat chart="10"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J14:K25" firstHeaderRow="1" firstDataRow="1" firstDataCol="1" rowPageCount="1" colPageCount="1"/>
  <pivotFields count="11">
    <pivotField showAll="0"/>
    <pivotField showAll="0">
      <items count="13">
        <item x="0"/>
        <item x="1"/>
        <item x="2"/>
        <item x="3"/>
        <item x="4"/>
        <item x="5"/>
        <item x="6"/>
        <item x="7"/>
        <item x="8"/>
        <item x="9"/>
        <item x="10"/>
        <item x="11"/>
        <item t="default"/>
      </items>
    </pivotField>
    <pivotField showAll="0"/>
    <pivotField showAll="0"/>
    <pivotField axis="axisPage" multipleItemSelectionAllowed="1" showAll="0">
      <items count="4">
        <item x="0"/>
        <item h="1" x="1"/>
        <item h="1" x="2"/>
        <item t="default"/>
      </items>
    </pivotField>
    <pivotField showAll="0"/>
    <pivotField showAll="0"/>
    <pivotField showAll="0"/>
    <pivotField showAll="0"/>
    <pivotField axis="axisRow" showAll="0" sortType="descending">
      <items count="11">
        <item x="3"/>
        <item x="5"/>
        <item x="9"/>
        <item x="8"/>
        <item x="1"/>
        <item x="7"/>
        <item x="2"/>
        <item x="0"/>
        <item x="6"/>
        <item x="4"/>
        <item t="default"/>
      </items>
      <autoSortScope>
        <pivotArea dataOnly="0" outline="0" fieldPosition="0">
          <references count="1">
            <reference field="4294967294" count="1" selected="0">
              <x v="0"/>
            </reference>
          </references>
        </pivotArea>
      </autoSortScope>
    </pivotField>
    <pivotField dataField="1" showAll="0"/>
  </pivotFields>
  <rowFields count="1">
    <field x="9"/>
  </rowFields>
  <rowItems count="11">
    <i>
      <x v="1"/>
    </i>
    <i>
      <x v="7"/>
    </i>
    <i>
      <x v="6"/>
    </i>
    <i>
      <x v="4"/>
    </i>
    <i>
      <x v="9"/>
    </i>
    <i>
      <x v="5"/>
    </i>
    <i>
      <x v="8"/>
    </i>
    <i>
      <x v="3"/>
    </i>
    <i>
      <x/>
    </i>
    <i>
      <x v="2"/>
    </i>
    <i t="grand">
      <x/>
    </i>
  </rowItems>
  <colItems count="1">
    <i/>
  </colItems>
  <pageFields count="1">
    <pageField fld="4" hier="-1"/>
  </pageFields>
  <dataFields count="1">
    <dataField name="Sum of Net Amount" fld="10"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G38:H51" firstHeaderRow="1" firstDataRow="1" firstDataCol="1"/>
  <pivotFields count="11">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items count="11">
        <item x="3"/>
        <item x="5"/>
        <item x="9"/>
        <item x="8"/>
        <item x="1"/>
        <item x="7"/>
        <item x="2"/>
        <item x="0"/>
        <item x="6"/>
        <item x="4"/>
        <item t="default"/>
      </items>
    </pivotField>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Sum of Net Amount" fld="10"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G15:H22" firstHeaderRow="1" firstDataRow="1" firstDataCol="1" rowPageCount="1" colPageCount="1"/>
  <pivotFields count="11">
    <pivotField showAll="0"/>
    <pivotField showAll="0">
      <items count="13">
        <item x="0"/>
        <item x="1"/>
        <item x="2"/>
        <item x="3"/>
        <item x="4"/>
        <item x="5"/>
        <item x="6"/>
        <item x="7"/>
        <item x="8"/>
        <item x="9"/>
        <item x="10"/>
        <item x="11"/>
        <item t="default"/>
      </items>
    </pivotField>
    <pivotField showAll="0"/>
    <pivotField showAll="0"/>
    <pivotField axis="axisPage" multipleItemSelectionAllowed="1" showAll="0">
      <items count="4">
        <item x="0"/>
        <item h="1" x="1"/>
        <item h="1" x="2"/>
        <item t="default"/>
      </items>
    </pivotField>
    <pivotField showAll="0"/>
    <pivotField axis="axisRow" showAll="0" sortType="descending">
      <items count="7">
        <item x="2"/>
        <item x="1"/>
        <item x="5"/>
        <item x="3"/>
        <item x="0"/>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3"/>
        <item x="5"/>
        <item x="9"/>
        <item x="8"/>
        <item x="1"/>
        <item x="7"/>
        <item x="2"/>
        <item x="0"/>
        <item x="6"/>
        <item x="4"/>
        <item t="default"/>
      </items>
    </pivotField>
    <pivotField dataField="1" showAll="0"/>
  </pivotFields>
  <rowFields count="1">
    <field x="6"/>
  </rowFields>
  <rowItems count="7">
    <i>
      <x v="2"/>
    </i>
    <i>
      <x v="3"/>
    </i>
    <i>
      <x v="5"/>
    </i>
    <i>
      <x/>
    </i>
    <i>
      <x v="4"/>
    </i>
    <i>
      <x v="1"/>
    </i>
    <i t="grand">
      <x/>
    </i>
  </rowItems>
  <colItems count="1">
    <i/>
  </colItems>
  <pageFields count="1">
    <pageField fld="4" hier="-1"/>
  </pageFields>
  <dataFields count="1">
    <dataField name="Sum of Net Amount" fld="10"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J3:K10" firstHeaderRow="1" firstDataRow="1" firstDataCol="1" rowPageCount="1" colPageCount="1"/>
  <pivotFields count="11">
    <pivotField showAll="0"/>
    <pivotField showAll="0">
      <items count="13">
        <item x="0"/>
        <item x="1"/>
        <item x="2"/>
        <item x="3"/>
        <item x="4"/>
        <item x="5"/>
        <item x="6"/>
        <item x="7"/>
        <item x="8"/>
        <item x="9"/>
        <item x="10"/>
        <item x="11"/>
        <item t="default"/>
      </items>
    </pivotField>
    <pivotField showAll="0"/>
    <pivotField showAll="0"/>
    <pivotField axis="axisPage" multipleItemSelectionAllowed="1" showAll="0">
      <items count="4">
        <item h="1" x="0"/>
        <item h="1" x="1"/>
        <item x="2"/>
        <item t="default"/>
      </items>
    </pivotField>
    <pivotField showAll="0"/>
    <pivotField showAll="0"/>
    <pivotField axis="axisRow" showAll="0" sortType="ascending">
      <items count="8">
        <item x="1"/>
        <item x="5"/>
        <item x="4"/>
        <item x="3"/>
        <item x="6"/>
        <item x="2"/>
        <item h="1" x="0"/>
        <item t="default"/>
      </items>
      <autoSortScope>
        <pivotArea dataOnly="0" outline="0" fieldPosition="0">
          <references count="1">
            <reference field="4294967294" count="1" selected="0">
              <x v="0"/>
            </reference>
          </references>
        </pivotArea>
      </autoSortScope>
    </pivotField>
    <pivotField showAll="0"/>
    <pivotField showAll="0">
      <items count="11">
        <item x="3"/>
        <item x="5"/>
        <item x="9"/>
        <item x="8"/>
        <item x="1"/>
        <item x="7"/>
        <item x="2"/>
        <item x="0"/>
        <item x="6"/>
        <item x="4"/>
        <item t="default"/>
      </items>
    </pivotField>
    <pivotField dataField="1" showAll="0"/>
  </pivotFields>
  <rowFields count="1">
    <field x="7"/>
  </rowFields>
  <rowItems count="7">
    <i>
      <x v="1"/>
    </i>
    <i>
      <x v="5"/>
    </i>
    <i>
      <x/>
    </i>
    <i>
      <x v="2"/>
    </i>
    <i>
      <x v="3"/>
    </i>
    <i>
      <x v="4"/>
    </i>
    <i t="grand">
      <x/>
    </i>
  </rowItems>
  <colItems count="1">
    <i/>
  </colItems>
  <pageFields count="1">
    <pageField fld="4" hier="-1"/>
  </pageFields>
  <dataFields count="1">
    <dataField name="Sum of Net Amount" fld="10" baseField="0" baseItem="0"/>
  </dataFields>
  <chartFormats count="7">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7" count="1" selected="0">
            <x v="1"/>
          </reference>
        </references>
      </pivotArea>
    </chartFormat>
    <chartFormat chart="6" format="16">
      <pivotArea type="data" outline="0" fieldPosition="0">
        <references count="2">
          <reference field="4294967294" count="1" selected="0">
            <x v="0"/>
          </reference>
          <reference field="7" count="1" selected="0">
            <x v="5"/>
          </reference>
        </references>
      </pivotArea>
    </chartFormat>
    <chartFormat chart="6" format="17">
      <pivotArea type="data" outline="0" fieldPosition="0">
        <references count="2">
          <reference field="4294967294" count="1" selected="0">
            <x v="0"/>
          </reference>
          <reference field="7" count="1" selected="0">
            <x v="0"/>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3"/>
          </reference>
        </references>
      </pivotArea>
    </chartFormat>
    <chartFormat chart="6" format="20">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G3:H12" firstHeaderRow="1" firstDataRow="1" firstDataCol="1" rowPageCount="1" colPageCount="1"/>
  <pivotFields count="11">
    <pivotField showAll="0"/>
    <pivotField showAll="0">
      <items count="13">
        <item x="0"/>
        <item x="1"/>
        <item x="2"/>
        <item x="3"/>
        <item x="4"/>
        <item x="5"/>
        <item x="6"/>
        <item x="7"/>
        <item x="8"/>
        <item x="9"/>
        <item x="10"/>
        <item x="11"/>
        <item t="default"/>
      </items>
    </pivotField>
    <pivotField showAll="0"/>
    <pivotField axis="axisRow" showAll="0" sortType="ascending">
      <items count="10">
        <item x="8"/>
        <item x="1"/>
        <item x="5"/>
        <item x="7"/>
        <item x="0"/>
        <item x="6"/>
        <item x="3"/>
        <item x="4"/>
        <item h="1" x="2"/>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x="0"/>
        <item h="1" x="1"/>
        <item h="1" x="2"/>
        <item t="default"/>
      </items>
    </pivotField>
    <pivotField showAll="0"/>
    <pivotField showAll="0"/>
    <pivotField showAll="0"/>
    <pivotField showAll="0"/>
    <pivotField showAll="0">
      <items count="11">
        <item x="3"/>
        <item x="5"/>
        <item x="9"/>
        <item x="8"/>
        <item x="1"/>
        <item x="7"/>
        <item x="2"/>
        <item x="0"/>
        <item x="6"/>
        <item x="4"/>
        <item t="default"/>
      </items>
    </pivotField>
    <pivotField dataField="1" showAll="0"/>
  </pivotFields>
  <rowFields count="1">
    <field x="3"/>
  </rowFields>
  <rowItems count="9">
    <i>
      <x v="5"/>
    </i>
    <i>
      <x v="1"/>
    </i>
    <i>
      <x v="6"/>
    </i>
    <i>
      <x v="4"/>
    </i>
    <i>
      <x/>
    </i>
    <i>
      <x v="7"/>
    </i>
    <i>
      <x v="2"/>
    </i>
    <i>
      <x v="3"/>
    </i>
    <i t="grand">
      <x/>
    </i>
  </rowItems>
  <colItems count="1">
    <i/>
  </colItems>
  <pageFields count="1">
    <pageField fld="4" hier="-1"/>
  </pageFields>
  <dataFields count="1">
    <dataField name="Sum of Net Amount" fld="10" baseField="0" baseItem="0"/>
  </dataFields>
  <chartFormats count="9">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3" count="1" selected="0">
            <x v="5"/>
          </reference>
        </references>
      </pivotArea>
    </chartFormat>
    <chartFormat chart="12" format="20">
      <pivotArea type="data" outline="0" fieldPosition="0">
        <references count="2">
          <reference field="4294967294" count="1" selected="0">
            <x v="0"/>
          </reference>
          <reference field="3" count="1" selected="0">
            <x v="1"/>
          </reference>
        </references>
      </pivotArea>
    </chartFormat>
    <chartFormat chart="12" format="21">
      <pivotArea type="data" outline="0" fieldPosition="0">
        <references count="2">
          <reference field="4294967294" count="1" selected="0">
            <x v="0"/>
          </reference>
          <reference field="3" count="1" selected="0">
            <x v="6"/>
          </reference>
        </references>
      </pivotArea>
    </chartFormat>
    <chartFormat chart="12" format="22">
      <pivotArea type="data" outline="0" fieldPosition="0">
        <references count="2">
          <reference field="4294967294" count="1" selected="0">
            <x v="0"/>
          </reference>
          <reference field="3" count="1" selected="0">
            <x v="4"/>
          </reference>
        </references>
      </pivotArea>
    </chartFormat>
    <chartFormat chart="12" format="23">
      <pivotArea type="data" outline="0" fieldPosition="0">
        <references count="2">
          <reference field="4294967294" count="1" selected="0">
            <x v="0"/>
          </reference>
          <reference field="3" count="1" selected="0">
            <x v="0"/>
          </reference>
        </references>
      </pivotArea>
    </chartFormat>
    <chartFormat chart="12" format="24">
      <pivotArea type="data" outline="0" fieldPosition="0">
        <references count="2">
          <reference field="4294967294" count="1" selected="0">
            <x v="0"/>
          </reference>
          <reference field="3" count="1" selected="0">
            <x v="7"/>
          </reference>
        </references>
      </pivotArea>
    </chartFormat>
    <chartFormat chart="12" format="25">
      <pivotArea type="data" outline="0" fieldPosition="0">
        <references count="2">
          <reference field="4294967294" count="1" selected="0">
            <x v="0"/>
          </reference>
          <reference field="3" count="1" selected="0">
            <x v="2"/>
          </reference>
        </references>
      </pivotArea>
    </chartFormat>
    <chartFormat chart="12" format="2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H3:H4" firstHeaderRow="1" firstDataRow="1" firstDataCol="0" rowPageCount="1" colPageCount="1"/>
  <pivotFields count="11">
    <pivotField showAll="0"/>
    <pivotField showAll="0">
      <items count="13">
        <item x="0"/>
        <item x="1"/>
        <item x="2"/>
        <item x="3"/>
        <item x="4"/>
        <item x="5"/>
        <item x="6"/>
        <item x="7"/>
        <item x="8"/>
        <item x="9"/>
        <item x="10"/>
        <item x="11"/>
        <item t="default"/>
      </items>
    </pivotField>
    <pivotField showAll="0"/>
    <pivotField showAll="0"/>
    <pivotField axis="axisPage" multipleItemSelectionAllowed="1" showAll="0">
      <items count="4">
        <item h="1" x="0"/>
        <item h="1" x="1"/>
        <item x="2"/>
        <item t="default"/>
      </items>
    </pivotField>
    <pivotField showAll="0"/>
    <pivotField showAll="0"/>
    <pivotField showAll="0"/>
    <pivotField showAll="0"/>
    <pivotField showAll="0">
      <items count="11">
        <item x="3"/>
        <item x="5"/>
        <item x="9"/>
        <item x="8"/>
        <item x="1"/>
        <item x="7"/>
        <item x="2"/>
        <item x="0"/>
        <item x="6"/>
        <item x="4"/>
        <item t="default"/>
      </items>
    </pivotField>
    <pivotField dataField="1" showAll="0"/>
  </pivotFields>
  <rowItems count="1">
    <i/>
  </rowItems>
  <colItems count="1">
    <i/>
  </colItems>
  <pageFields count="1">
    <pageField fld="4" hier="-1"/>
  </pageFields>
  <dataFields count="1">
    <dataField name="Sum of Net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3:E4" firstHeaderRow="1" firstDataRow="1" firstDataCol="0" rowPageCount="1" colPageCount="1"/>
  <pivotFields count="11">
    <pivotField showAll="0"/>
    <pivotField showAll="0">
      <items count="13">
        <item x="0"/>
        <item x="1"/>
        <item x="2"/>
        <item x="3"/>
        <item x="4"/>
        <item x="5"/>
        <item x="6"/>
        <item x="7"/>
        <item x="8"/>
        <item x="9"/>
        <item x="10"/>
        <item x="11"/>
        <item t="default"/>
      </items>
    </pivotField>
    <pivotField showAll="0"/>
    <pivotField showAll="0"/>
    <pivotField axis="axisPage" multipleItemSelectionAllowed="1" showAll="0">
      <items count="4">
        <item x="0"/>
        <item h="1" x="1"/>
        <item h="1" x="2"/>
        <item t="default"/>
      </items>
    </pivotField>
    <pivotField showAll="0"/>
    <pivotField showAll="0"/>
    <pivotField showAll="0"/>
    <pivotField showAll="0"/>
    <pivotField showAll="0">
      <items count="11">
        <item x="3"/>
        <item x="5"/>
        <item x="9"/>
        <item x="8"/>
        <item x="1"/>
        <item x="7"/>
        <item x="2"/>
        <item x="0"/>
        <item x="6"/>
        <item x="4"/>
        <item t="default"/>
      </items>
    </pivotField>
    <pivotField dataField="1" showAll="0"/>
  </pivotFields>
  <rowItems count="1">
    <i/>
  </rowItems>
  <colItems count="1">
    <i/>
  </colItems>
  <pageFields count="1">
    <pageField fld="4" hier="-1"/>
  </pageFields>
  <dataFields count="1">
    <dataField name="Sum of Net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3:B4" firstHeaderRow="1" firstDataRow="1" firstDataCol="0" rowPageCount="1" colPageCount="1"/>
  <pivotFields count="11">
    <pivotField showAll="0"/>
    <pivotField showAll="0">
      <items count="13">
        <item x="0"/>
        <item x="1"/>
        <item x="2"/>
        <item x="3"/>
        <item x="4"/>
        <item x="5"/>
        <item x="6"/>
        <item x="7"/>
        <item x="8"/>
        <item x="9"/>
        <item x="10"/>
        <item x="11"/>
        <item t="default"/>
      </items>
    </pivotField>
    <pivotField showAll="0"/>
    <pivotField showAll="0"/>
    <pivotField axis="axisPage" multipleItemSelectionAllowed="1" showAll="0">
      <items count="4">
        <item h="1" x="0"/>
        <item x="1"/>
        <item h="1" x="2"/>
        <item t="default"/>
      </items>
    </pivotField>
    <pivotField showAll="0"/>
    <pivotField showAll="0"/>
    <pivotField showAll="0"/>
    <pivotField showAll="0"/>
    <pivotField showAll="0">
      <items count="11">
        <item x="3"/>
        <item x="5"/>
        <item x="9"/>
        <item x="8"/>
        <item x="1"/>
        <item x="7"/>
        <item x="2"/>
        <item x="0"/>
        <item x="6"/>
        <item x="4"/>
        <item t="default"/>
      </items>
    </pivotField>
    <pivotField dataField="1" showAll="0"/>
  </pivotFields>
  <rowItems count="1">
    <i/>
  </rowItems>
  <colItems count="1">
    <i/>
  </colItems>
  <pageFields count="1">
    <pageField fld="4" hier="-1"/>
  </pageFields>
  <dataFields count="1">
    <dataField name="Sum of Net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 tabId="6" name="PivotTable1"/>
    <pivotTable tabId="6" name="PivotTable2"/>
    <pivotTable tabId="6" name="PivotTable3"/>
    <pivotTable tabId="3" name="PivotTable2"/>
    <pivotTable tabId="3" name="PivotTable3"/>
    <pivotTable tabId="3" name="PivotTable4"/>
    <pivotTable tabId="3" name="PivotTable5"/>
    <pivotTable tabId="3" name="PivotTable6"/>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ransaction_Type" sourceName="Transaction Type">
  <pivotTables>
    <pivotTable tabId="3" name="PivotTable1"/>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1"/>
    <pivotTable tabId="6" name="PivotTable1"/>
    <pivotTable tabId="6" name="PivotTable2"/>
    <pivotTable tabId="6" name="PivotTable3"/>
    <pivotTable tabId="3" name="PivotTable2"/>
    <pivotTable tabId="3" name="PivotTable3"/>
    <pivotTable tabId="3" name="PivotTable4"/>
    <pivotTable tabId="3" name="PivotTable5"/>
    <pivotTable tabId="3" name="PivotTable6"/>
  </pivotTables>
  <data>
    <tabular pivotCacheId="1">
      <items count="10">
        <i x="3" s="1"/>
        <i x="5" s="1"/>
        <i x="9" s="1"/>
        <i x="8" s="1"/>
        <i x="1" s="1"/>
        <i x="7" s="1"/>
        <i x="2" s="1"/>
        <i x="0"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style="SlicerStyleDark1" rowHeight="241300"/>
  <slicer name="Transaction Type" cache="Slicer_Transaction_Type" caption="Transaction Type" style="SlicerStyleDark1" rowHeight="241300"/>
  <slicer name="City" cache="Slicer_City" caption="City" style="SlicerStyleDark1" rowHeight="241300"/>
</slicers>
</file>

<file path=xl/tables/table1.xml><?xml version="1.0" encoding="utf-8"?>
<table xmlns="http://schemas.openxmlformats.org/spreadsheetml/2006/main" id="1" name="tb_rawdata" displayName="tb_rawdata" ref="A1:K1001" totalsRowShown="0" headerRowDxfId="2" headerRowBorderDxfId="1" tableBorderDxfId="0">
  <autoFilter ref="A1:K1001"/>
  <tableColumns count="11">
    <tableColumn id="1" name="Date"/>
    <tableColumn id="2" name="Month"/>
    <tableColumn id="3" name="Income Source"/>
    <tableColumn id="4" name="Expense Category"/>
    <tableColumn id="5" name="Transaction Type"/>
    <tableColumn id="6" name="Amount (INR)"/>
    <tableColumn id="7" name="Payment Mode"/>
    <tableColumn id="8" name="Investment Type"/>
    <tableColumn id="9" name="Return %"/>
    <tableColumn id="10" name="City"/>
    <tableColumn id="11" name="Net Amount">
      <calculatedColumnFormula>IF(E2= "Income", F2, -F2)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K1001"/>
  <sheetViews>
    <sheetView zoomScale="78" zoomScaleNormal="70" workbookViewId="0">
      <selection activeCell="C14" sqref="C14"/>
    </sheetView>
  </sheetViews>
  <sheetFormatPr defaultRowHeight="14.25" x14ac:dyDescent="0.45"/>
  <cols>
    <col min="1" max="1" width="11.59765625" customWidth="1"/>
    <col min="2" max="2" width="12.1328125" customWidth="1"/>
    <col min="3" max="3" width="16.59765625" customWidth="1"/>
    <col min="4" max="4" width="17" customWidth="1"/>
    <col min="5" max="5" width="19.53125" customWidth="1"/>
    <col min="6" max="6" width="15.6640625" customWidth="1"/>
    <col min="7" max="7" width="15.1328125" customWidth="1"/>
    <col min="8" max="8" width="16.33203125" customWidth="1"/>
    <col min="9" max="9" width="11.1328125" customWidth="1"/>
    <col min="10" max="10" width="15.265625" customWidth="1"/>
    <col min="11" max="11" width="14.3984375" customWidth="1"/>
  </cols>
  <sheetData>
    <row r="1" spans="1:11" x14ac:dyDescent="0.45">
      <c r="A1" s="1" t="s">
        <v>0</v>
      </c>
      <c r="B1" s="1" t="s">
        <v>1</v>
      </c>
      <c r="C1" s="1" t="s">
        <v>2</v>
      </c>
      <c r="D1" s="1" t="s">
        <v>3</v>
      </c>
      <c r="E1" s="1" t="s">
        <v>4</v>
      </c>
      <c r="F1" s="1" t="s">
        <v>5</v>
      </c>
      <c r="G1" s="1" t="s">
        <v>6</v>
      </c>
      <c r="H1" s="1" t="s">
        <v>7</v>
      </c>
      <c r="I1" s="1" t="s">
        <v>8</v>
      </c>
      <c r="J1" s="1" t="s">
        <v>9</v>
      </c>
      <c r="K1" s="1" t="s">
        <v>615</v>
      </c>
    </row>
    <row r="2" spans="1:11" x14ac:dyDescent="0.45">
      <c r="A2" t="s">
        <v>541</v>
      </c>
      <c r="B2" t="s">
        <v>568</v>
      </c>
      <c r="D2" t="s">
        <v>583</v>
      </c>
      <c r="E2" t="s">
        <v>591</v>
      </c>
      <c r="F2">
        <v>6379</v>
      </c>
      <c r="G2" t="s">
        <v>594</v>
      </c>
      <c r="J2" t="s">
        <v>608</v>
      </c>
      <c r="K2">
        <f t="shared" ref="K2:K65" si="0">IF(E2= "Income", F2, -F2)</f>
        <v>-6379</v>
      </c>
    </row>
    <row r="3" spans="1:11" x14ac:dyDescent="0.45">
      <c r="A3" t="s">
        <v>147</v>
      </c>
      <c r="B3" t="s">
        <v>568</v>
      </c>
      <c r="D3" t="s">
        <v>589</v>
      </c>
      <c r="E3" t="s">
        <v>591</v>
      </c>
      <c r="F3">
        <v>28082</v>
      </c>
      <c r="G3" t="s">
        <v>594</v>
      </c>
      <c r="J3" t="s">
        <v>605</v>
      </c>
      <c r="K3">
        <f t="shared" si="0"/>
        <v>-28082</v>
      </c>
    </row>
    <row r="4" spans="1:11" x14ac:dyDescent="0.45">
      <c r="A4" t="s">
        <v>147</v>
      </c>
      <c r="B4" t="s">
        <v>568</v>
      </c>
      <c r="C4" t="s">
        <v>579</v>
      </c>
      <c r="E4" t="s">
        <v>590</v>
      </c>
      <c r="F4">
        <v>125009</v>
      </c>
      <c r="G4" t="s">
        <v>593</v>
      </c>
      <c r="J4" t="s">
        <v>614</v>
      </c>
      <c r="K4">
        <f t="shared" si="0"/>
        <v>125009</v>
      </c>
    </row>
    <row r="5" spans="1:11" x14ac:dyDescent="0.45">
      <c r="A5" t="s">
        <v>154</v>
      </c>
      <c r="B5" t="s">
        <v>568</v>
      </c>
      <c r="C5" t="s">
        <v>578</v>
      </c>
      <c r="E5" t="s">
        <v>590</v>
      </c>
      <c r="F5">
        <v>168862</v>
      </c>
      <c r="G5" t="s">
        <v>597</v>
      </c>
      <c r="J5" t="s">
        <v>613</v>
      </c>
      <c r="K5">
        <f t="shared" si="0"/>
        <v>168862</v>
      </c>
    </row>
    <row r="6" spans="1:11" x14ac:dyDescent="0.45">
      <c r="A6" t="s">
        <v>154</v>
      </c>
      <c r="B6" t="s">
        <v>568</v>
      </c>
      <c r="E6" t="s">
        <v>592</v>
      </c>
      <c r="F6">
        <v>13208</v>
      </c>
      <c r="G6" t="s">
        <v>595</v>
      </c>
      <c r="H6" t="s">
        <v>603</v>
      </c>
      <c r="I6">
        <v>16.43</v>
      </c>
      <c r="J6" t="s">
        <v>611</v>
      </c>
      <c r="K6">
        <f t="shared" si="0"/>
        <v>-13208</v>
      </c>
    </row>
    <row r="7" spans="1:11" x14ac:dyDescent="0.45">
      <c r="A7" t="s">
        <v>461</v>
      </c>
      <c r="B7" t="s">
        <v>568</v>
      </c>
      <c r="D7" t="s">
        <v>586</v>
      </c>
      <c r="E7" t="s">
        <v>591</v>
      </c>
      <c r="F7">
        <v>6024</v>
      </c>
      <c r="G7" t="s">
        <v>597</v>
      </c>
      <c r="J7" t="s">
        <v>612</v>
      </c>
      <c r="K7">
        <f t="shared" si="0"/>
        <v>-6024</v>
      </c>
    </row>
    <row r="8" spans="1:11" x14ac:dyDescent="0.45">
      <c r="A8" t="s">
        <v>301</v>
      </c>
      <c r="B8" t="s">
        <v>568</v>
      </c>
      <c r="E8" t="s">
        <v>592</v>
      </c>
      <c r="F8">
        <v>109668</v>
      </c>
      <c r="G8" t="s">
        <v>595</v>
      </c>
      <c r="H8" t="s">
        <v>604</v>
      </c>
      <c r="I8">
        <v>13.07</v>
      </c>
      <c r="J8" t="s">
        <v>613</v>
      </c>
      <c r="K8">
        <f t="shared" si="0"/>
        <v>-109668</v>
      </c>
    </row>
    <row r="9" spans="1:11" x14ac:dyDescent="0.45">
      <c r="A9" t="s">
        <v>400</v>
      </c>
      <c r="B9" t="s">
        <v>568</v>
      </c>
      <c r="E9" t="s">
        <v>592</v>
      </c>
      <c r="F9">
        <v>17269</v>
      </c>
      <c r="G9" t="s">
        <v>598</v>
      </c>
      <c r="H9" t="s">
        <v>599</v>
      </c>
      <c r="I9">
        <v>8.2899999999999991</v>
      </c>
      <c r="J9" t="s">
        <v>606</v>
      </c>
      <c r="K9">
        <f t="shared" si="0"/>
        <v>-17269</v>
      </c>
    </row>
    <row r="10" spans="1:11" x14ac:dyDescent="0.45">
      <c r="A10" t="s">
        <v>400</v>
      </c>
      <c r="B10" t="s">
        <v>568</v>
      </c>
      <c r="D10" t="s">
        <v>585</v>
      </c>
      <c r="E10" t="s">
        <v>591</v>
      </c>
      <c r="F10">
        <v>7507</v>
      </c>
      <c r="G10" t="s">
        <v>593</v>
      </c>
      <c r="J10" t="s">
        <v>605</v>
      </c>
      <c r="K10">
        <f t="shared" si="0"/>
        <v>-7507</v>
      </c>
    </row>
    <row r="11" spans="1:11" x14ac:dyDescent="0.45">
      <c r="A11" t="s">
        <v>489</v>
      </c>
      <c r="B11" t="s">
        <v>568</v>
      </c>
      <c r="D11" t="s">
        <v>586</v>
      </c>
      <c r="E11" t="s">
        <v>591</v>
      </c>
      <c r="F11">
        <v>22465</v>
      </c>
      <c r="G11" t="s">
        <v>598</v>
      </c>
      <c r="J11" t="s">
        <v>605</v>
      </c>
      <c r="K11">
        <f t="shared" si="0"/>
        <v>-22465</v>
      </c>
    </row>
    <row r="12" spans="1:11" x14ac:dyDescent="0.45">
      <c r="A12" t="s">
        <v>535</v>
      </c>
      <c r="B12" t="s">
        <v>568</v>
      </c>
      <c r="D12" t="s">
        <v>584</v>
      </c>
      <c r="E12" t="s">
        <v>591</v>
      </c>
      <c r="F12">
        <v>5090</v>
      </c>
      <c r="G12" t="s">
        <v>593</v>
      </c>
      <c r="J12" t="s">
        <v>606</v>
      </c>
      <c r="K12">
        <f t="shared" si="0"/>
        <v>-5090</v>
      </c>
    </row>
    <row r="13" spans="1:11" x14ac:dyDescent="0.45">
      <c r="A13" t="s">
        <v>359</v>
      </c>
      <c r="B13" t="s">
        <v>568</v>
      </c>
      <c r="C13" t="s">
        <v>580</v>
      </c>
      <c r="E13" t="s">
        <v>590</v>
      </c>
      <c r="F13">
        <v>148870</v>
      </c>
      <c r="G13" t="s">
        <v>598</v>
      </c>
      <c r="J13" t="s">
        <v>607</v>
      </c>
      <c r="K13">
        <f t="shared" si="0"/>
        <v>148870</v>
      </c>
    </row>
    <row r="14" spans="1:11" x14ac:dyDescent="0.45">
      <c r="A14" t="s">
        <v>522</v>
      </c>
      <c r="B14" t="s">
        <v>568</v>
      </c>
      <c r="D14" t="s">
        <v>583</v>
      </c>
      <c r="E14" t="s">
        <v>591</v>
      </c>
      <c r="F14">
        <v>19338</v>
      </c>
      <c r="G14" t="s">
        <v>594</v>
      </c>
      <c r="J14" t="s">
        <v>611</v>
      </c>
      <c r="K14">
        <f t="shared" si="0"/>
        <v>-19338</v>
      </c>
    </row>
    <row r="15" spans="1:11" x14ac:dyDescent="0.45">
      <c r="A15" t="s">
        <v>468</v>
      </c>
      <c r="B15" t="s">
        <v>568</v>
      </c>
      <c r="D15" t="s">
        <v>582</v>
      </c>
      <c r="E15" t="s">
        <v>591</v>
      </c>
      <c r="F15">
        <v>40381</v>
      </c>
      <c r="G15" t="s">
        <v>593</v>
      </c>
      <c r="J15" t="s">
        <v>610</v>
      </c>
      <c r="K15">
        <f t="shared" si="0"/>
        <v>-40381</v>
      </c>
    </row>
    <row r="16" spans="1:11" x14ac:dyDescent="0.45">
      <c r="A16" t="s">
        <v>468</v>
      </c>
      <c r="B16" t="s">
        <v>568</v>
      </c>
      <c r="D16" t="s">
        <v>587</v>
      </c>
      <c r="E16" t="s">
        <v>591</v>
      </c>
      <c r="F16">
        <v>1710</v>
      </c>
      <c r="G16" t="s">
        <v>593</v>
      </c>
      <c r="J16" t="s">
        <v>606</v>
      </c>
      <c r="K16">
        <f t="shared" si="0"/>
        <v>-1710</v>
      </c>
    </row>
    <row r="17" spans="1:11" x14ac:dyDescent="0.45">
      <c r="A17" t="s">
        <v>553</v>
      </c>
      <c r="B17" t="s">
        <v>568</v>
      </c>
      <c r="D17" t="s">
        <v>582</v>
      </c>
      <c r="E17" t="s">
        <v>591</v>
      </c>
      <c r="F17">
        <v>27996</v>
      </c>
      <c r="G17" t="s">
        <v>595</v>
      </c>
      <c r="J17" t="s">
        <v>613</v>
      </c>
      <c r="K17">
        <f t="shared" si="0"/>
        <v>-27996</v>
      </c>
    </row>
    <row r="18" spans="1:11" x14ac:dyDescent="0.45">
      <c r="A18" t="s">
        <v>327</v>
      </c>
      <c r="B18" t="s">
        <v>568</v>
      </c>
      <c r="C18" t="s">
        <v>580</v>
      </c>
      <c r="E18" t="s">
        <v>590</v>
      </c>
      <c r="F18">
        <v>45753</v>
      </c>
      <c r="G18" t="s">
        <v>598</v>
      </c>
      <c r="J18" t="s">
        <v>613</v>
      </c>
      <c r="K18">
        <f t="shared" si="0"/>
        <v>45753</v>
      </c>
    </row>
    <row r="19" spans="1:11" x14ac:dyDescent="0.45">
      <c r="A19" t="s">
        <v>327</v>
      </c>
      <c r="B19" t="s">
        <v>568</v>
      </c>
      <c r="E19" t="s">
        <v>592</v>
      </c>
      <c r="F19">
        <v>34170</v>
      </c>
      <c r="G19" t="s">
        <v>593</v>
      </c>
      <c r="H19" t="s">
        <v>602</v>
      </c>
      <c r="I19">
        <v>16.920000000000002</v>
      </c>
      <c r="J19" t="s">
        <v>605</v>
      </c>
      <c r="K19">
        <f t="shared" si="0"/>
        <v>-34170</v>
      </c>
    </row>
    <row r="20" spans="1:11" x14ac:dyDescent="0.45">
      <c r="A20" t="s">
        <v>242</v>
      </c>
      <c r="B20" t="s">
        <v>568</v>
      </c>
      <c r="D20" t="s">
        <v>586</v>
      </c>
      <c r="E20" t="s">
        <v>591</v>
      </c>
      <c r="F20">
        <v>24045</v>
      </c>
      <c r="G20" t="s">
        <v>593</v>
      </c>
      <c r="J20" t="s">
        <v>609</v>
      </c>
      <c r="K20">
        <f t="shared" si="0"/>
        <v>-24045</v>
      </c>
    </row>
    <row r="21" spans="1:11" x14ac:dyDescent="0.45">
      <c r="A21" t="s">
        <v>242</v>
      </c>
      <c r="B21" t="s">
        <v>568</v>
      </c>
      <c r="C21" t="s">
        <v>576</v>
      </c>
      <c r="E21" t="s">
        <v>590</v>
      </c>
      <c r="F21">
        <v>166818</v>
      </c>
      <c r="G21" t="s">
        <v>598</v>
      </c>
      <c r="J21" t="s">
        <v>614</v>
      </c>
      <c r="K21">
        <f t="shared" si="0"/>
        <v>166818</v>
      </c>
    </row>
    <row r="22" spans="1:11" x14ac:dyDescent="0.45">
      <c r="A22" t="s">
        <v>242</v>
      </c>
      <c r="B22" t="s">
        <v>568</v>
      </c>
      <c r="C22" t="s">
        <v>576</v>
      </c>
      <c r="E22" t="s">
        <v>590</v>
      </c>
      <c r="F22">
        <v>122829</v>
      </c>
      <c r="G22" t="s">
        <v>594</v>
      </c>
      <c r="J22" t="s">
        <v>606</v>
      </c>
      <c r="K22">
        <f t="shared" si="0"/>
        <v>122829</v>
      </c>
    </row>
    <row r="23" spans="1:11" x14ac:dyDescent="0.45">
      <c r="A23" t="s">
        <v>242</v>
      </c>
      <c r="B23" t="s">
        <v>568</v>
      </c>
      <c r="E23" t="s">
        <v>592</v>
      </c>
      <c r="F23">
        <v>47798</v>
      </c>
      <c r="G23" t="s">
        <v>598</v>
      </c>
      <c r="H23" t="s">
        <v>600</v>
      </c>
      <c r="I23">
        <v>17.350000000000001</v>
      </c>
      <c r="J23" t="s">
        <v>614</v>
      </c>
      <c r="K23">
        <f t="shared" si="0"/>
        <v>-47798</v>
      </c>
    </row>
    <row r="24" spans="1:11" x14ac:dyDescent="0.45">
      <c r="A24" t="s">
        <v>287</v>
      </c>
      <c r="B24" t="s">
        <v>568</v>
      </c>
      <c r="D24" t="s">
        <v>582</v>
      </c>
      <c r="E24" t="s">
        <v>591</v>
      </c>
      <c r="F24">
        <v>35298</v>
      </c>
      <c r="G24" t="s">
        <v>597</v>
      </c>
      <c r="J24" t="s">
        <v>609</v>
      </c>
      <c r="K24">
        <f t="shared" si="0"/>
        <v>-35298</v>
      </c>
    </row>
    <row r="25" spans="1:11" x14ac:dyDescent="0.45">
      <c r="A25" t="s">
        <v>34</v>
      </c>
      <c r="B25" t="s">
        <v>568</v>
      </c>
      <c r="C25" t="s">
        <v>578</v>
      </c>
      <c r="E25" t="s">
        <v>590</v>
      </c>
      <c r="F25">
        <v>95612</v>
      </c>
      <c r="G25" t="s">
        <v>593</v>
      </c>
      <c r="J25" t="s">
        <v>606</v>
      </c>
      <c r="K25">
        <f t="shared" si="0"/>
        <v>95612</v>
      </c>
    </row>
    <row r="26" spans="1:11" x14ac:dyDescent="0.45">
      <c r="A26" t="s">
        <v>34</v>
      </c>
      <c r="B26" t="s">
        <v>568</v>
      </c>
      <c r="D26" t="s">
        <v>582</v>
      </c>
      <c r="E26" t="s">
        <v>591</v>
      </c>
      <c r="F26">
        <v>28516</v>
      </c>
      <c r="G26" t="s">
        <v>597</v>
      </c>
      <c r="J26" t="s">
        <v>614</v>
      </c>
      <c r="K26">
        <f t="shared" si="0"/>
        <v>-28516</v>
      </c>
    </row>
    <row r="27" spans="1:11" x14ac:dyDescent="0.45">
      <c r="A27" t="s">
        <v>34</v>
      </c>
      <c r="B27" t="s">
        <v>568</v>
      </c>
      <c r="E27" t="s">
        <v>592</v>
      </c>
      <c r="F27">
        <v>48069</v>
      </c>
      <c r="G27" t="s">
        <v>595</v>
      </c>
      <c r="H27" t="s">
        <v>603</v>
      </c>
      <c r="I27">
        <v>5.63</v>
      </c>
      <c r="J27" t="s">
        <v>611</v>
      </c>
      <c r="K27">
        <f t="shared" si="0"/>
        <v>-48069</v>
      </c>
    </row>
    <row r="28" spans="1:11" x14ac:dyDescent="0.45">
      <c r="A28" t="s">
        <v>34</v>
      </c>
      <c r="B28" t="s">
        <v>568</v>
      </c>
      <c r="E28" t="s">
        <v>592</v>
      </c>
      <c r="F28">
        <v>5088</v>
      </c>
      <c r="G28" t="s">
        <v>597</v>
      </c>
      <c r="H28" t="s">
        <v>603</v>
      </c>
      <c r="I28">
        <v>19.940000000000001</v>
      </c>
      <c r="J28" t="s">
        <v>614</v>
      </c>
      <c r="K28">
        <f t="shared" si="0"/>
        <v>-5088</v>
      </c>
    </row>
    <row r="29" spans="1:11" x14ac:dyDescent="0.45">
      <c r="A29" t="s">
        <v>444</v>
      </c>
      <c r="B29" t="s">
        <v>568</v>
      </c>
      <c r="D29" t="s">
        <v>584</v>
      </c>
      <c r="E29" t="s">
        <v>591</v>
      </c>
      <c r="F29">
        <v>2747</v>
      </c>
      <c r="G29" t="s">
        <v>596</v>
      </c>
      <c r="J29" t="s">
        <v>613</v>
      </c>
      <c r="K29">
        <f t="shared" si="0"/>
        <v>-2747</v>
      </c>
    </row>
    <row r="30" spans="1:11" x14ac:dyDescent="0.45">
      <c r="A30" t="s">
        <v>216</v>
      </c>
      <c r="B30" t="s">
        <v>568</v>
      </c>
      <c r="E30" t="s">
        <v>592</v>
      </c>
      <c r="F30">
        <v>123611</v>
      </c>
      <c r="G30" t="s">
        <v>596</v>
      </c>
      <c r="H30" t="s">
        <v>604</v>
      </c>
      <c r="I30">
        <v>20.78</v>
      </c>
      <c r="J30" t="s">
        <v>610</v>
      </c>
      <c r="K30">
        <f t="shared" si="0"/>
        <v>-123611</v>
      </c>
    </row>
    <row r="31" spans="1:11" x14ac:dyDescent="0.45">
      <c r="A31" t="s">
        <v>216</v>
      </c>
      <c r="B31" t="s">
        <v>568</v>
      </c>
      <c r="D31" t="s">
        <v>588</v>
      </c>
      <c r="E31" t="s">
        <v>591</v>
      </c>
      <c r="F31">
        <v>2707</v>
      </c>
      <c r="G31" t="s">
        <v>596</v>
      </c>
      <c r="J31" t="s">
        <v>606</v>
      </c>
      <c r="K31">
        <f t="shared" si="0"/>
        <v>-2707</v>
      </c>
    </row>
    <row r="32" spans="1:11" x14ac:dyDescent="0.45">
      <c r="A32" t="s">
        <v>424</v>
      </c>
      <c r="B32" t="s">
        <v>568</v>
      </c>
      <c r="C32" t="s">
        <v>575</v>
      </c>
      <c r="E32" t="s">
        <v>590</v>
      </c>
      <c r="F32">
        <v>52133</v>
      </c>
      <c r="G32" t="s">
        <v>594</v>
      </c>
      <c r="J32" t="s">
        <v>607</v>
      </c>
      <c r="K32">
        <f t="shared" si="0"/>
        <v>52133</v>
      </c>
    </row>
    <row r="33" spans="1:11" x14ac:dyDescent="0.45">
      <c r="A33" t="s">
        <v>424</v>
      </c>
      <c r="B33" t="s">
        <v>568</v>
      </c>
      <c r="C33" t="s">
        <v>581</v>
      </c>
      <c r="E33" t="s">
        <v>590</v>
      </c>
      <c r="F33">
        <v>88954</v>
      </c>
      <c r="G33" t="s">
        <v>596</v>
      </c>
      <c r="J33" t="s">
        <v>612</v>
      </c>
      <c r="K33">
        <f t="shared" si="0"/>
        <v>88954</v>
      </c>
    </row>
    <row r="34" spans="1:11" x14ac:dyDescent="0.45">
      <c r="A34" t="s">
        <v>317</v>
      </c>
      <c r="B34" t="s">
        <v>568</v>
      </c>
      <c r="E34" t="s">
        <v>592</v>
      </c>
      <c r="F34">
        <v>76361</v>
      </c>
      <c r="G34" t="s">
        <v>595</v>
      </c>
      <c r="H34" t="s">
        <v>602</v>
      </c>
      <c r="I34">
        <v>3.24</v>
      </c>
      <c r="J34" t="s">
        <v>605</v>
      </c>
      <c r="K34">
        <f t="shared" si="0"/>
        <v>-76361</v>
      </c>
    </row>
    <row r="35" spans="1:11" x14ac:dyDescent="0.45">
      <c r="A35" t="s">
        <v>317</v>
      </c>
      <c r="B35" t="s">
        <v>568</v>
      </c>
      <c r="D35" t="s">
        <v>586</v>
      </c>
      <c r="E35" t="s">
        <v>591</v>
      </c>
      <c r="F35">
        <v>7178</v>
      </c>
      <c r="G35" t="s">
        <v>597</v>
      </c>
      <c r="J35" t="s">
        <v>607</v>
      </c>
      <c r="K35">
        <f t="shared" si="0"/>
        <v>-7178</v>
      </c>
    </row>
    <row r="36" spans="1:11" x14ac:dyDescent="0.45">
      <c r="A36" t="s">
        <v>71</v>
      </c>
      <c r="B36" t="s">
        <v>568</v>
      </c>
      <c r="C36" t="s">
        <v>578</v>
      </c>
      <c r="E36" t="s">
        <v>590</v>
      </c>
      <c r="F36">
        <v>122928</v>
      </c>
      <c r="G36" t="s">
        <v>598</v>
      </c>
      <c r="J36" t="s">
        <v>605</v>
      </c>
      <c r="K36">
        <f t="shared" si="0"/>
        <v>122928</v>
      </c>
    </row>
    <row r="37" spans="1:11" x14ac:dyDescent="0.45">
      <c r="A37" t="s">
        <v>531</v>
      </c>
      <c r="B37" t="s">
        <v>568</v>
      </c>
      <c r="D37" t="s">
        <v>582</v>
      </c>
      <c r="E37" t="s">
        <v>591</v>
      </c>
      <c r="F37">
        <v>14811</v>
      </c>
      <c r="G37" t="s">
        <v>596</v>
      </c>
      <c r="J37" t="s">
        <v>608</v>
      </c>
      <c r="K37">
        <f t="shared" si="0"/>
        <v>-14811</v>
      </c>
    </row>
    <row r="38" spans="1:11" x14ac:dyDescent="0.45">
      <c r="A38" t="s">
        <v>532</v>
      </c>
      <c r="B38" t="s">
        <v>568</v>
      </c>
      <c r="C38" t="s">
        <v>578</v>
      </c>
      <c r="E38" t="s">
        <v>590</v>
      </c>
      <c r="F38">
        <v>100249</v>
      </c>
      <c r="G38" t="s">
        <v>595</v>
      </c>
      <c r="J38" t="s">
        <v>613</v>
      </c>
      <c r="K38">
        <f t="shared" si="0"/>
        <v>100249</v>
      </c>
    </row>
    <row r="39" spans="1:11" x14ac:dyDescent="0.45">
      <c r="A39" t="s">
        <v>290</v>
      </c>
      <c r="B39" t="s">
        <v>569</v>
      </c>
      <c r="D39" t="s">
        <v>582</v>
      </c>
      <c r="E39" t="s">
        <v>591</v>
      </c>
      <c r="F39">
        <v>20503</v>
      </c>
      <c r="G39" t="s">
        <v>594</v>
      </c>
      <c r="J39" t="s">
        <v>613</v>
      </c>
      <c r="K39">
        <f t="shared" si="0"/>
        <v>-20503</v>
      </c>
    </row>
    <row r="40" spans="1:11" x14ac:dyDescent="0.45">
      <c r="A40" t="s">
        <v>290</v>
      </c>
      <c r="B40" t="s">
        <v>569</v>
      </c>
      <c r="E40" t="s">
        <v>592</v>
      </c>
      <c r="F40">
        <v>7050</v>
      </c>
      <c r="G40" t="s">
        <v>594</v>
      </c>
      <c r="H40" t="s">
        <v>602</v>
      </c>
      <c r="I40">
        <v>-4.6500000000000004</v>
      </c>
      <c r="J40" t="s">
        <v>610</v>
      </c>
      <c r="K40">
        <f t="shared" si="0"/>
        <v>-7050</v>
      </c>
    </row>
    <row r="41" spans="1:11" x14ac:dyDescent="0.45">
      <c r="A41" t="s">
        <v>184</v>
      </c>
      <c r="B41" t="s">
        <v>569</v>
      </c>
      <c r="D41" t="s">
        <v>586</v>
      </c>
      <c r="E41" t="s">
        <v>591</v>
      </c>
      <c r="F41">
        <v>15028</v>
      </c>
      <c r="G41" t="s">
        <v>595</v>
      </c>
      <c r="J41" t="s">
        <v>605</v>
      </c>
      <c r="K41">
        <f t="shared" si="0"/>
        <v>-15028</v>
      </c>
    </row>
    <row r="42" spans="1:11" x14ac:dyDescent="0.45">
      <c r="A42" t="s">
        <v>184</v>
      </c>
      <c r="B42" t="s">
        <v>569</v>
      </c>
      <c r="C42" t="s">
        <v>576</v>
      </c>
      <c r="E42" t="s">
        <v>590</v>
      </c>
      <c r="F42">
        <v>90673</v>
      </c>
      <c r="G42" t="s">
        <v>593</v>
      </c>
      <c r="J42" t="s">
        <v>613</v>
      </c>
      <c r="K42">
        <f t="shared" si="0"/>
        <v>90673</v>
      </c>
    </row>
    <row r="43" spans="1:11" x14ac:dyDescent="0.45">
      <c r="A43" t="s">
        <v>184</v>
      </c>
      <c r="B43" t="s">
        <v>569</v>
      </c>
      <c r="D43" t="s">
        <v>588</v>
      </c>
      <c r="E43" t="s">
        <v>591</v>
      </c>
      <c r="F43">
        <v>3762</v>
      </c>
      <c r="G43" t="s">
        <v>596</v>
      </c>
      <c r="J43" t="s">
        <v>611</v>
      </c>
      <c r="K43">
        <f t="shared" si="0"/>
        <v>-3762</v>
      </c>
    </row>
    <row r="44" spans="1:11" x14ac:dyDescent="0.45">
      <c r="A44" t="s">
        <v>429</v>
      </c>
      <c r="B44" t="s">
        <v>569</v>
      </c>
      <c r="C44" t="s">
        <v>578</v>
      </c>
      <c r="E44" t="s">
        <v>590</v>
      </c>
      <c r="F44">
        <v>83453</v>
      </c>
      <c r="G44" t="s">
        <v>594</v>
      </c>
      <c r="J44" t="s">
        <v>610</v>
      </c>
      <c r="K44">
        <f t="shared" si="0"/>
        <v>83453</v>
      </c>
    </row>
    <row r="45" spans="1:11" x14ac:dyDescent="0.45">
      <c r="A45" t="s">
        <v>429</v>
      </c>
      <c r="B45" t="s">
        <v>569</v>
      </c>
      <c r="D45" t="s">
        <v>586</v>
      </c>
      <c r="E45" t="s">
        <v>591</v>
      </c>
      <c r="F45">
        <v>20658</v>
      </c>
      <c r="G45" t="s">
        <v>593</v>
      </c>
      <c r="J45" t="s">
        <v>606</v>
      </c>
      <c r="K45">
        <f t="shared" si="0"/>
        <v>-20658</v>
      </c>
    </row>
    <row r="46" spans="1:11" x14ac:dyDescent="0.45">
      <c r="A46" t="s">
        <v>429</v>
      </c>
      <c r="B46" t="s">
        <v>569</v>
      </c>
      <c r="C46" t="s">
        <v>575</v>
      </c>
      <c r="E46" t="s">
        <v>590</v>
      </c>
      <c r="F46">
        <v>39631</v>
      </c>
      <c r="G46" t="s">
        <v>597</v>
      </c>
      <c r="J46" t="s">
        <v>605</v>
      </c>
      <c r="K46">
        <f t="shared" si="0"/>
        <v>39631</v>
      </c>
    </row>
    <row r="47" spans="1:11" x14ac:dyDescent="0.45">
      <c r="A47" t="s">
        <v>163</v>
      </c>
      <c r="B47" t="s">
        <v>569</v>
      </c>
      <c r="D47" t="s">
        <v>586</v>
      </c>
      <c r="E47" t="s">
        <v>591</v>
      </c>
      <c r="F47">
        <v>21181</v>
      </c>
      <c r="G47" t="s">
        <v>598</v>
      </c>
      <c r="J47" t="s">
        <v>609</v>
      </c>
      <c r="K47">
        <f t="shared" si="0"/>
        <v>-21181</v>
      </c>
    </row>
    <row r="48" spans="1:11" x14ac:dyDescent="0.45">
      <c r="A48" t="s">
        <v>249</v>
      </c>
      <c r="B48" t="s">
        <v>569</v>
      </c>
      <c r="C48" t="s">
        <v>581</v>
      </c>
      <c r="E48" t="s">
        <v>590</v>
      </c>
      <c r="F48">
        <v>67289</v>
      </c>
      <c r="G48" t="s">
        <v>594</v>
      </c>
      <c r="J48" t="s">
        <v>611</v>
      </c>
      <c r="K48">
        <f t="shared" si="0"/>
        <v>67289</v>
      </c>
    </row>
    <row r="49" spans="1:11" x14ac:dyDescent="0.45">
      <c r="A49" t="s">
        <v>463</v>
      </c>
      <c r="B49" t="s">
        <v>569</v>
      </c>
      <c r="D49" t="s">
        <v>588</v>
      </c>
      <c r="E49" t="s">
        <v>591</v>
      </c>
      <c r="F49">
        <v>730</v>
      </c>
      <c r="G49" t="s">
        <v>596</v>
      </c>
      <c r="J49" t="s">
        <v>607</v>
      </c>
      <c r="K49">
        <f t="shared" si="0"/>
        <v>-730</v>
      </c>
    </row>
    <row r="50" spans="1:11" x14ac:dyDescent="0.45">
      <c r="A50" t="s">
        <v>463</v>
      </c>
      <c r="B50" t="s">
        <v>569</v>
      </c>
      <c r="C50" t="s">
        <v>581</v>
      </c>
      <c r="E50" t="s">
        <v>590</v>
      </c>
      <c r="F50">
        <v>61659</v>
      </c>
      <c r="G50" t="s">
        <v>596</v>
      </c>
      <c r="J50" t="s">
        <v>607</v>
      </c>
      <c r="K50">
        <f t="shared" si="0"/>
        <v>61659</v>
      </c>
    </row>
    <row r="51" spans="1:11" x14ac:dyDescent="0.45">
      <c r="A51" t="s">
        <v>507</v>
      </c>
      <c r="B51" t="s">
        <v>569</v>
      </c>
      <c r="E51" t="s">
        <v>592</v>
      </c>
      <c r="F51">
        <v>141944</v>
      </c>
      <c r="G51" t="s">
        <v>594</v>
      </c>
      <c r="H51" t="s">
        <v>600</v>
      </c>
      <c r="I51">
        <v>17.350000000000001</v>
      </c>
      <c r="J51" t="s">
        <v>613</v>
      </c>
      <c r="K51">
        <f t="shared" si="0"/>
        <v>-141944</v>
      </c>
    </row>
    <row r="52" spans="1:11" x14ac:dyDescent="0.45">
      <c r="A52" t="s">
        <v>141</v>
      </c>
      <c r="B52" t="s">
        <v>569</v>
      </c>
      <c r="E52" t="s">
        <v>592</v>
      </c>
      <c r="F52">
        <v>43247</v>
      </c>
      <c r="G52" t="s">
        <v>594</v>
      </c>
      <c r="H52" t="s">
        <v>603</v>
      </c>
      <c r="I52">
        <v>10.96</v>
      </c>
      <c r="J52" t="s">
        <v>610</v>
      </c>
      <c r="K52">
        <f t="shared" si="0"/>
        <v>-43247</v>
      </c>
    </row>
    <row r="53" spans="1:11" x14ac:dyDescent="0.45">
      <c r="A53" t="s">
        <v>141</v>
      </c>
      <c r="B53" t="s">
        <v>569</v>
      </c>
      <c r="E53" t="s">
        <v>592</v>
      </c>
      <c r="F53">
        <v>23176</v>
      </c>
      <c r="G53" t="s">
        <v>598</v>
      </c>
      <c r="H53" t="s">
        <v>601</v>
      </c>
      <c r="I53">
        <v>-1.55</v>
      </c>
      <c r="J53" t="s">
        <v>610</v>
      </c>
      <c r="K53">
        <f t="shared" si="0"/>
        <v>-23176</v>
      </c>
    </row>
    <row r="54" spans="1:11" x14ac:dyDescent="0.45">
      <c r="A54" t="s">
        <v>141</v>
      </c>
      <c r="B54" t="s">
        <v>569</v>
      </c>
      <c r="D54" t="s">
        <v>588</v>
      </c>
      <c r="E54" t="s">
        <v>591</v>
      </c>
      <c r="F54">
        <v>6748</v>
      </c>
      <c r="G54" t="s">
        <v>594</v>
      </c>
      <c r="J54" t="s">
        <v>614</v>
      </c>
      <c r="K54">
        <f t="shared" si="0"/>
        <v>-6748</v>
      </c>
    </row>
    <row r="55" spans="1:11" x14ac:dyDescent="0.45">
      <c r="A55" t="s">
        <v>141</v>
      </c>
      <c r="B55" t="s">
        <v>569</v>
      </c>
      <c r="E55" t="s">
        <v>592</v>
      </c>
      <c r="F55">
        <v>17656</v>
      </c>
      <c r="G55" t="s">
        <v>593</v>
      </c>
      <c r="H55" t="s">
        <v>604</v>
      </c>
      <c r="I55">
        <v>-7.85</v>
      </c>
      <c r="J55" t="s">
        <v>607</v>
      </c>
      <c r="K55">
        <f t="shared" si="0"/>
        <v>-17656</v>
      </c>
    </row>
    <row r="56" spans="1:11" x14ac:dyDescent="0.45">
      <c r="A56" t="s">
        <v>286</v>
      </c>
      <c r="B56" t="s">
        <v>569</v>
      </c>
      <c r="C56" t="s">
        <v>580</v>
      </c>
      <c r="E56" t="s">
        <v>590</v>
      </c>
      <c r="F56">
        <v>102304</v>
      </c>
      <c r="G56" t="s">
        <v>595</v>
      </c>
      <c r="J56" t="s">
        <v>607</v>
      </c>
      <c r="K56">
        <f t="shared" si="0"/>
        <v>102304</v>
      </c>
    </row>
    <row r="57" spans="1:11" x14ac:dyDescent="0.45">
      <c r="A57" t="s">
        <v>286</v>
      </c>
      <c r="B57" t="s">
        <v>569</v>
      </c>
      <c r="C57" t="s">
        <v>579</v>
      </c>
      <c r="E57" t="s">
        <v>590</v>
      </c>
      <c r="F57">
        <v>75751</v>
      </c>
      <c r="G57" t="s">
        <v>594</v>
      </c>
      <c r="J57" t="s">
        <v>609</v>
      </c>
      <c r="K57">
        <f t="shared" si="0"/>
        <v>75751</v>
      </c>
    </row>
    <row r="58" spans="1:11" x14ac:dyDescent="0.45">
      <c r="A58" t="s">
        <v>371</v>
      </c>
      <c r="B58" t="s">
        <v>569</v>
      </c>
      <c r="D58" t="s">
        <v>589</v>
      </c>
      <c r="E58" t="s">
        <v>591</v>
      </c>
      <c r="F58">
        <v>36805</v>
      </c>
      <c r="G58" t="s">
        <v>593</v>
      </c>
      <c r="J58" t="s">
        <v>614</v>
      </c>
      <c r="K58">
        <f t="shared" si="0"/>
        <v>-36805</v>
      </c>
    </row>
    <row r="59" spans="1:11" x14ac:dyDescent="0.45">
      <c r="A59" t="s">
        <v>296</v>
      </c>
      <c r="B59" t="s">
        <v>569</v>
      </c>
      <c r="C59" t="s">
        <v>575</v>
      </c>
      <c r="E59" t="s">
        <v>590</v>
      </c>
      <c r="F59">
        <v>35717</v>
      </c>
      <c r="G59" t="s">
        <v>596</v>
      </c>
      <c r="J59" t="s">
        <v>613</v>
      </c>
      <c r="K59">
        <f t="shared" si="0"/>
        <v>35717</v>
      </c>
    </row>
    <row r="60" spans="1:11" x14ac:dyDescent="0.45">
      <c r="A60" t="s">
        <v>17</v>
      </c>
      <c r="B60" t="s">
        <v>569</v>
      </c>
      <c r="D60" t="s">
        <v>582</v>
      </c>
      <c r="E60" t="s">
        <v>591</v>
      </c>
      <c r="F60">
        <v>32807</v>
      </c>
      <c r="G60" t="s">
        <v>594</v>
      </c>
      <c r="J60" t="s">
        <v>607</v>
      </c>
      <c r="K60">
        <f t="shared" si="0"/>
        <v>-32807</v>
      </c>
    </row>
    <row r="61" spans="1:11" x14ac:dyDescent="0.45">
      <c r="A61" t="s">
        <v>17</v>
      </c>
      <c r="B61" t="s">
        <v>569</v>
      </c>
      <c r="D61" t="s">
        <v>588</v>
      </c>
      <c r="E61" t="s">
        <v>591</v>
      </c>
      <c r="F61">
        <v>9765</v>
      </c>
      <c r="G61" t="s">
        <v>598</v>
      </c>
      <c r="J61" t="s">
        <v>612</v>
      </c>
      <c r="K61">
        <f t="shared" si="0"/>
        <v>-9765</v>
      </c>
    </row>
    <row r="62" spans="1:11" x14ac:dyDescent="0.45">
      <c r="A62" t="s">
        <v>358</v>
      </c>
      <c r="B62" t="s">
        <v>569</v>
      </c>
      <c r="D62" t="s">
        <v>583</v>
      </c>
      <c r="E62" t="s">
        <v>591</v>
      </c>
      <c r="F62">
        <v>11165</v>
      </c>
      <c r="G62" t="s">
        <v>595</v>
      </c>
      <c r="J62" t="s">
        <v>610</v>
      </c>
      <c r="K62">
        <f t="shared" si="0"/>
        <v>-11165</v>
      </c>
    </row>
    <row r="63" spans="1:11" x14ac:dyDescent="0.45">
      <c r="A63" t="s">
        <v>358</v>
      </c>
      <c r="B63" t="s">
        <v>569</v>
      </c>
      <c r="E63" t="s">
        <v>592</v>
      </c>
      <c r="F63">
        <v>18026</v>
      </c>
      <c r="G63" t="s">
        <v>596</v>
      </c>
      <c r="H63" t="s">
        <v>599</v>
      </c>
      <c r="I63">
        <v>-13.02</v>
      </c>
      <c r="J63" t="s">
        <v>614</v>
      </c>
      <c r="K63">
        <f t="shared" si="0"/>
        <v>-18026</v>
      </c>
    </row>
    <row r="64" spans="1:11" x14ac:dyDescent="0.45">
      <c r="A64" t="s">
        <v>358</v>
      </c>
      <c r="B64" t="s">
        <v>569</v>
      </c>
      <c r="E64" t="s">
        <v>592</v>
      </c>
      <c r="F64">
        <v>55346</v>
      </c>
      <c r="G64" t="s">
        <v>593</v>
      </c>
      <c r="H64" t="s">
        <v>604</v>
      </c>
      <c r="I64">
        <v>14.47</v>
      </c>
      <c r="J64" t="s">
        <v>610</v>
      </c>
      <c r="K64">
        <f t="shared" si="0"/>
        <v>-55346</v>
      </c>
    </row>
    <row r="65" spans="1:11" x14ac:dyDescent="0.45">
      <c r="A65" t="s">
        <v>19</v>
      </c>
      <c r="B65" t="s">
        <v>569</v>
      </c>
      <c r="D65" t="s">
        <v>584</v>
      </c>
      <c r="E65" t="s">
        <v>591</v>
      </c>
      <c r="F65">
        <v>853</v>
      </c>
      <c r="G65" t="s">
        <v>593</v>
      </c>
      <c r="J65" t="s">
        <v>610</v>
      </c>
      <c r="K65">
        <f t="shared" si="0"/>
        <v>-853</v>
      </c>
    </row>
    <row r="66" spans="1:11" x14ac:dyDescent="0.45">
      <c r="A66" t="s">
        <v>19</v>
      </c>
      <c r="B66" t="s">
        <v>569</v>
      </c>
      <c r="E66" t="s">
        <v>592</v>
      </c>
      <c r="F66">
        <v>86581</v>
      </c>
      <c r="G66" t="s">
        <v>593</v>
      </c>
      <c r="H66" t="s">
        <v>600</v>
      </c>
      <c r="I66">
        <v>14.99</v>
      </c>
      <c r="J66" t="s">
        <v>613</v>
      </c>
      <c r="K66">
        <f t="shared" ref="K66:K129" si="1">IF(E66= "Income", F66, -F66)</f>
        <v>-86581</v>
      </c>
    </row>
    <row r="67" spans="1:11" x14ac:dyDescent="0.45">
      <c r="A67" t="s">
        <v>19</v>
      </c>
      <c r="B67" t="s">
        <v>569</v>
      </c>
      <c r="E67" t="s">
        <v>592</v>
      </c>
      <c r="F67">
        <v>23408</v>
      </c>
      <c r="G67" t="s">
        <v>598</v>
      </c>
      <c r="H67" t="s">
        <v>602</v>
      </c>
      <c r="I67">
        <v>20.34</v>
      </c>
      <c r="J67" t="s">
        <v>614</v>
      </c>
      <c r="K67">
        <f t="shared" si="1"/>
        <v>-23408</v>
      </c>
    </row>
    <row r="68" spans="1:11" x14ac:dyDescent="0.45">
      <c r="A68" t="s">
        <v>19</v>
      </c>
      <c r="B68" t="s">
        <v>569</v>
      </c>
      <c r="D68" t="s">
        <v>582</v>
      </c>
      <c r="E68" t="s">
        <v>591</v>
      </c>
      <c r="F68">
        <v>31442</v>
      </c>
      <c r="G68" t="s">
        <v>597</v>
      </c>
      <c r="J68" t="s">
        <v>610</v>
      </c>
      <c r="K68">
        <f t="shared" si="1"/>
        <v>-31442</v>
      </c>
    </row>
    <row r="69" spans="1:11" x14ac:dyDescent="0.45">
      <c r="A69" t="s">
        <v>87</v>
      </c>
      <c r="B69" t="s">
        <v>569</v>
      </c>
      <c r="C69" t="s">
        <v>579</v>
      </c>
      <c r="E69" t="s">
        <v>590</v>
      </c>
      <c r="F69">
        <v>175241</v>
      </c>
      <c r="G69" t="s">
        <v>594</v>
      </c>
      <c r="J69" t="s">
        <v>613</v>
      </c>
      <c r="K69">
        <f t="shared" si="1"/>
        <v>175241</v>
      </c>
    </row>
    <row r="70" spans="1:11" x14ac:dyDescent="0.45">
      <c r="A70" t="s">
        <v>87</v>
      </c>
      <c r="B70" t="s">
        <v>569</v>
      </c>
      <c r="C70" t="s">
        <v>577</v>
      </c>
      <c r="E70" t="s">
        <v>590</v>
      </c>
      <c r="F70">
        <v>135476</v>
      </c>
      <c r="G70" t="s">
        <v>594</v>
      </c>
      <c r="J70" t="s">
        <v>610</v>
      </c>
      <c r="K70">
        <f t="shared" si="1"/>
        <v>135476</v>
      </c>
    </row>
    <row r="71" spans="1:11" x14ac:dyDescent="0.45">
      <c r="A71" t="s">
        <v>87</v>
      </c>
      <c r="B71" t="s">
        <v>569</v>
      </c>
      <c r="E71" t="s">
        <v>592</v>
      </c>
      <c r="F71">
        <v>32480</v>
      </c>
      <c r="G71" t="s">
        <v>596</v>
      </c>
      <c r="H71" t="s">
        <v>599</v>
      </c>
      <c r="I71">
        <v>22.24</v>
      </c>
      <c r="J71" t="s">
        <v>611</v>
      </c>
      <c r="K71">
        <f t="shared" si="1"/>
        <v>-32480</v>
      </c>
    </row>
    <row r="72" spans="1:11" x14ac:dyDescent="0.45">
      <c r="A72" t="s">
        <v>527</v>
      </c>
      <c r="B72" t="s">
        <v>569</v>
      </c>
      <c r="D72" t="s">
        <v>585</v>
      </c>
      <c r="E72" t="s">
        <v>591</v>
      </c>
      <c r="F72">
        <v>1283</v>
      </c>
      <c r="G72" t="s">
        <v>593</v>
      </c>
      <c r="J72" t="s">
        <v>609</v>
      </c>
      <c r="K72">
        <f t="shared" si="1"/>
        <v>-1283</v>
      </c>
    </row>
    <row r="73" spans="1:11" x14ac:dyDescent="0.45">
      <c r="A73" t="s">
        <v>282</v>
      </c>
      <c r="B73" t="s">
        <v>569</v>
      </c>
      <c r="C73" t="s">
        <v>579</v>
      </c>
      <c r="E73" t="s">
        <v>590</v>
      </c>
      <c r="F73">
        <v>171635</v>
      </c>
      <c r="G73" t="s">
        <v>598</v>
      </c>
      <c r="J73" t="s">
        <v>613</v>
      </c>
      <c r="K73">
        <f t="shared" si="1"/>
        <v>171635</v>
      </c>
    </row>
    <row r="74" spans="1:11" x14ac:dyDescent="0.45">
      <c r="A74" t="s">
        <v>282</v>
      </c>
      <c r="B74" t="s">
        <v>569</v>
      </c>
      <c r="D74" t="s">
        <v>583</v>
      </c>
      <c r="E74" t="s">
        <v>591</v>
      </c>
      <c r="F74">
        <v>19473</v>
      </c>
      <c r="G74" t="s">
        <v>595</v>
      </c>
      <c r="J74" t="s">
        <v>607</v>
      </c>
      <c r="K74">
        <f t="shared" si="1"/>
        <v>-19473</v>
      </c>
    </row>
    <row r="75" spans="1:11" x14ac:dyDescent="0.45">
      <c r="A75" t="s">
        <v>549</v>
      </c>
      <c r="B75" t="s">
        <v>569</v>
      </c>
      <c r="D75" t="s">
        <v>584</v>
      </c>
      <c r="E75" t="s">
        <v>591</v>
      </c>
      <c r="F75">
        <v>896</v>
      </c>
      <c r="G75" t="s">
        <v>595</v>
      </c>
      <c r="J75" t="s">
        <v>607</v>
      </c>
      <c r="K75">
        <f t="shared" si="1"/>
        <v>-896</v>
      </c>
    </row>
    <row r="76" spans="1:11" x14ac:dyDescent="0.45">
      <c r="A76" t="s">
        <v>48</v>
      </c>
      <c r="B76" t="s">
        <v>569</v>
      </c>
      <c r="D76" t="s">
        <v>587</v>
      </c>
      <c r="E76" t="s">
        <v>591</v>
      </c>
      <c r="F76">
        <v>532</v>
      </c>
      <c r="G76" t="s">
        <v>593</v>
      </c>
      <c r="J76" t="s">
        <v>612</v>
      </c>
      <c r="K76">
        <f t="shared" si="1"/>
        <v>-532</v>
      </c>
    </row>
    <row r="77" spans="1:11" x14ac:dyDescent="0.45">
      <c r="A77" t="s">
        <v>48</v>
      </c>
      <c r="B77" t="s">
        <v>569</v>
      </c>
      <c r="D77" t="s">
        <v>585</v>
      </c>
      <c r="E77" t="s">
        <v>591</v>
      </c>
      <c r="F77">
        <v>1231</v>
      </c>
      <c r="G77" t="s">
        <v>597</v>
      </c>
      <c r="J77" t="s">
        <v>610</v>
      </c>
      <c r="K77">
        <f t="shared" si="1"/>
        <v>-1231</v>
      </c>
    </row>
    <row r="78" spans="1:11" x14ac:dyDescent="0.45">
      <c r="A78" t="s">
        <v>64</v>
      </c>
      <c r="B78" t="s">
        <v>569</v>
      </c>
      <c r="C78" t="s">
        <v>579</v>
      </c>
      <c r="E78" t="s">
        <v>590</v>
      </c>
      <c r="F78">
        <v>87530</v>
      </c>
      <c r="G78" t="s">
        <v>594</v>
      </c>
      <c r="J78" t="s">
        <v>606</v>
      </c>
      <c r="K78">
        <f t="shared" si="1"/>
        <v>87530</v>
      </c>
    </row>
    <row r="79" spans="1:11" x14ac:dyDescent="0.45">
      <c r="A79" t="s">
        <v>64</v>
      </c>
      <c r="B79" t="s">
        <v>569</v>
      </c>
      <c r="E79" t="s">
        <v>592</v>
      </c>
      <c r="F79">
        <v>91906</v>
      </c>
      <c r="G79" t="s">
        <v>597</v>
      </c>
      <c r="H79" t="s">
        <v>600</v>
      </c>
      <c r="I79">
        <v>0.12</v>
      </c>
      <c r="J79" t="s">
        <v>607</v>
      </c>
      <c r="K79">
        <f t="shared" si="1"/>
        <v>-91906</v>
      </c>
    </row>
    <row r="80" spans="1:11" x14ac:dyDescent="0.45">
      <c r="A80" t="s">
        <v>300</v>
      </c>
      <c r="B80" t="s">
        <v>569</v>
      </c>
      <c r="C80" t="s">
        <v>578</v>
      </c>
      <c r="E80" t="s">
        <v>590</v>
      </c>
      <c r="F80">
        <v>138837</v>
      </c>
      <c r="G80" t="s">
        <v>594</v>
      </c>
      <c r="J80" t="s">
        <v>612</v>
      </c>
      <c r="K80">
        <f t="shared" si="1"/>
        <v>138837</v>
      </c>
    </row>
    <row r="81" spans="1:11" x14ac:dyDescent="0.45">
      <c r="A81" t="s">
        <v>458</v>
      </c>
      <c r="B81" t="s">
        <v>569</v>
      </c>
      <c r="E81" t="s">
        <v>592</v>
      </c>
      <c r="F81">
        <v>162125</v>
      </c>
      <c r="G81" t="s">
        <v>594</v>
      </c>
      <c r="H81" t="s">
        <v>600</v>
      </c>
      <c r="I81">
        <v>25.6</v>
      </c>
      <c r="J81" t="s">
        <v>613</v>
      </c>
      <c r="K81">
        <f t="shared" si="1"/>
        <v>-162125</v>
      </c>
    </row>
    <row r="82" spans="1:11" x14ac:dyDescent="0.45">
      <c r="A82" t="s">
        <v>460</v>
      </c>
      <c r="B82" t="s">
        <v>569</v>
      </c>
      <c r="E82" t="s">
        <v>592</v>
      </c>
      <c r="F82">
        <v>39009</v>
      </c>
      <c r="G82" t="s">
        <v>596</v>
      </c>
      <c r="H82" t="s">
        <v>604</v>
      </c>
      <c r="I82">
        <v>27.67</v>
      </c>
      <c r="J82" t="s">
        <v>614</v>
      </c>
      <c r="K82">
        <f t="shared" si="1"/>
        <v>-39009</v>
      </c>
    </row>
    <row r="83" spans="1:11" x14ac:dyDescent="0.45">
      <c r="A83" t="s">
        <v>460</v>
      </c>
      <c r="B83" t="s">
        <v>569</v>
      </c>
      <c r="C83" t="s">
        <v>580</v>
      </c>
      <c r="E83" t="s">
        <v>590</v>
      </c>
      <c r="F83">
        <v>147531</v>
      </c>
      <c r="G83" t="s">
        <v>595</v>
      </c>
      <c r="J83" t="s">
        <v>613</v>
      </c>
      <c r="K83">
        <f t="shared" si="1"/>
        <v>147531</v>
      </c>
    </row>
    <row r="84" spans="1:11" x14ac:dyDescent="0.45">
      <c r="A84" t="s">
        <v>460</v>
      </c>
      <c r="B84" t="s">
        <v>569</v>
      </c>
      <c r="D84" t="s">
        <v>585</v>
      </c>
      <c r="E84" t="s">
        <v>591</v>
      </c>
      <c r="F84">
        <v>7895</v>
      </c>
      <c r="G84" t="s">
        <v>598</v>
      </c>
      <c r="J84" t="s">
        <v>613</v>
      </c>
      <c r="K84">
        <f t="shared" si="1"/>
        <v>-7895</v>
      </c>
    </row>
    <row r="85" spans="1:11" x14ac:dyDescent="0.45">
      <c r="A85" t="s">
        <v>166</v>
      </c>
      <c r="B85" t="s">
        <v>569</v>
      </c>
      <c r="C85" t="s">
        <v>578</v>
      </c>
      <c r="E85" t="s">
        <v>590</v>
      </c>
      <c r="F85">
        <v>127901</v>
      </c>
      <c r="G85" t="s">
        <v>593</v>
      </c>
      <c r="J85" t="s">
        <v>605</v>
      </c>
      <c r="K85">
        <f t="shared" si="1"/>
        <v>127901</v>
      </c>
    </row>
    <row r="86" spans="1:11" x14ac:dyDescent="0.45">
      <c r="A86" t="s">
        <v>166</v>
      </c>
      <c r="B86" t="s">
        <v>569</v>
      </c>
      <c r="D86" t="s">
        <v>585</v>
      </c>
      <c r="E86" t="s">
        <v>591</v>
      </c>
      <c r="F86">
        <v>1375</v>
      </c>
      <c r="G86" t="s">
        <v>596</v>
      </c>
      <c r="J86" t="s">
        <v>607</v>
      </c>
      <c r="K86">
        <f t="shared" si="1"/>
        <v>-1375</v>
      </c>
    </row>
    <row r="87" spans="1:11" x14ac:dyDescent="0.45">
      <c r="A87" t="s">
        <v>166</v>
      </c>
      <c r="B87" t="s">
        <v>569</v>
      </c>
      <c r="C87" t="s">
        <v>579</v>
      </c>
      <c r="E87" t="s">
        <v>590</v>
      </c>
      <c r="F87">
        <v>33713</v>
      </c>
      <c r="G87" t="s">
        <v>597</v>
      </c>
      <c r="J87" t="s">
        <v>613</v>
      </c>
      <c r="K87">
        <f t="shared" si="1"/>
        <v>33713</v>
      </c>
    </row>
    <row r="88" spans="1:11" x14ac:dyDescent="0.45">
      <c r="A88" t="s">
        <v>45</v>
      </c>
      <c r="B88" t="s">
        <v>574</v>
      </c>
      <c r="D88" t="s">
        <v>588</v>
      </c>
      <c r="E88" t="s">
        <v>591</v>
      </c>
      <c r="F88">
        <v>2290</v>
      </c>
      <c r="G88" t="s">
        <v>593</v>
      </c>
      <c r="J88" t="s">
        <v>605</v>
      </c>
      <c r="K88">
        <f t="shared" si="1"/>
        <v>-2290</v>
      </c>
    </row>
    <row r="89" spans="1:11" x14ac:dyDescent="0.45">
      <c r="A89" t="s">
        <v>45</v>
      </c>
      <c r="B89" t="s">
        <v>574</v>
      </c>
      <c r="D89" t="s">
        <v>586</v>
      </c>
      <c r="E89" t="s">
        <v>591</v>
      </c>
      <c r="F89">
        <v>4502</v>
      </c>
      <c r="G89" t="s">
        <v>595</v>
      </c>
      <c r="J89" t="s">
        <v>610</v>
      </c>
      <c r="K89">
        <f t="shared" si="1"/>
        <v>-4502</v>
      </c>
    </row>
    <row r="90" spans="1:11" x14ac:dyDescent="0.45">
      <c r="A90" t="s">
        <v>98</v>
      </c>
      <c r="B90" t="s">
        <v>574</v>
      </c>
      <c r="C90" t="s">
        <v>579</v>
      </c>
      <c r="E90" t="s">
        <v>590</v>
      </c>
      <c r="F90">
        <v>117099</v>
      </c>
      <c r="G90" t="s">
        <v>597</v>
      </c>
      <c r="J90" t="s">
        <v>606</v>
      </c>
      <c r="K90">
        <f t="shared" si="1"/>
        <v>117099</v>
      </c>
    </row>
    <row r="91" spans="1:11" x14ac:dyDescent="0.45">
      <c r="A91" t="s">
        <v>98</v>
      </c>
      <c r="B91" t="s">
        <v>574</v>
      </c>
      <c r="E91" t="s">
        <v>592</v>
      </c>
      <c r="F91">
        <v>62994</v>
      </c>
      <c r="G91" t="s">
        <v>593</v>
      </c>
      <c r="H91" t="s">
        <v>600</v>
      </c>
      <c r="I91">
        <v>9.6300000000000008</v>
      </c>
      <c r="J91" t="s">
        <v>612</v>
      </c>
      <c r="K91">
        <f t="shared" si="1"/>
        <v>-62994</v>
      </c>
    </row>
    <row r="92" spans="1:11" x14ac:dyDescent="0.45">
      <c r="A92" t="s">
        <v>98</v>
      </c>
      <c r="B92" t="s">
        <v>574</v>
      </c>
      <c r="D92" t="s">
        <v>583</v>
      </c>
      <c r="E92" t="s">
        <v>591</v>
      </c>
      <c r="F92">
        <v>1265</v>
      </c>
      <c r="G92" t="s">
        <v>597</v>
      </c>
      <c r="J92" t="s">
        <v>609</v>
      </c>
      <c r="K92">
        <f t="shared" si="1"/>
        <v>-1265</v>
      </c>
    </row>
    <row r="93" spans="1:11" x14ac:dyDescent="0.45">
      <c r="A93" t="s">
        <v>379</v>
      </c>
      <c r="B93" t="s">
        <v>574</v>
      </c>
      <c r="D93" t="s">
        <v>583</v>
      </c>
      <c r="E93" t="s">
        <v>591</v>
      </c>
      <c r="F93">
        <v>7437</v>
      </c>
      <c r="G93" t="s">
        <v>595</v>
      </c>
      <c r="J93" t="s">
        <v>605</v>
      </c>
      <c r="K93">
        <f t="shared" si="1"/>
        <v>-7437</v>
      </c>
    </row>
    <row r="94" spans="1:11" x14ac:dyDescent="0.45">
      <c r="A94" t="s">
        <v>97</v>
      </c>
      <c r="B94" t="s">
        <v>574</v>
      </c>
      <c r="D94" t="s">
        <v>588</v>
      </c>
      <c r="E94" t="s">
        <v>591</v>
      </c>
      <c r="F94">
        <v>9390</v>
      </c>
      <c r="G94" t="s">
        <v>595</v>
      </c>
      <c r="J94" t="s">
        <v>614</v>
      </c>
      <c r="K94">
        <f t="shared" si="1"/>
        <v>-9390</v>
      </c>
    </row>
    <row r="95" spans="1:11" x14ac:dyDescent="0.45">
      <c r="A95" t="s">
        <v>97</v>
      </c>
      <c r="B95" t="s">
        <v>574</v>
      </c>
      <c r="D95" t="s">
        <v>588</v>
      </c>
      <c r="E95" t="s">
        <v>591</v>
      </c>
      <c r="F95">
        <v>8908</v>
      </c>
      <c r="G95" t="s">
        <v>597</v>
      </c>
      <c r="J95" t="s">
        <v>610</v>
      </c>
      <c r="K95">
        <f t="shared" si="1"/>
        <v>-8908</v>
      </c>
    </row>
    <row r="96" spans="1:11" x14ac:dyDescent="0.45">
      <c r="A96" t="s">
        <v>414</v>
      </c>
      <c r="B96" t="s">
        <v>574</v>
      </c>
      <c r="C96" t="s">
        <v>575</v>
      </c>
      <c r="E96" t="s">
        <v>590</v>
      </c>
      <c r="F96">
        <v>131242</v>
      </c>
      <c r="G96" t="s">
        <v>593</v>
      </c>
      <c r="J96" t="s">
        <v>610</v>
      </c>
      <c r="K96">
        <f t="shared" si="1"/>
        <v>131242</v>
      </c>
    </row>
    <row r="97" spans="1:11" x14ac:dyDescent="0.45">
      <c r="A97" t="s">
        <v>560</v>
      </c>
      <c r="B97" t="s">
        <v>574</v>
      </c>
      <c r="C97" t="s">
        <v>579</v>
      </c>
      <c r="E97" t="s">
        <v>590</v>
      </c>
      <c r="F97">
        <v>176758</v>
      </c>
      <c r="G97" t="s">
        <v>595</v>
      </c>
      <c r="J97" t="s">
        <v>611</v>
      </c>
      <c r="K97">
        <f t="shared" si="1"/>
        <v>176758</v>
      </c>
    </row>
    <row r="98" spans="1:11" x14ac:dyDescent="0.45">
      <c r="A98" t="s">
        <v>197</v>
      </c>
      <c r="B98" t="s">
        <v>574</v>
      </c>
      <c r="C98" t="s">
        <v>581</v>
      </c>
      <c r="E98" t="s">
        <v>590</v>
      </c>
      <c r="F98">
        <v>39439</v>
      </c>
      <c r="G98" t="s">
        <v>595</v>
      </c>
      <c r="J98" t="s">
        <v>610</v>
      </c>
      <c r="K98">
        <f t="shared" si="1"/>
        <v>39439</v>
      </c>
    </row>
    <row r="99" spans="1:11" x14ac:dyDescent="0.45">
      <c r="A99" t="s">
        <v>197</v>
      </c>
      <c r="B99" t="s">
        <v>574</v>
      </c>
      <c r="C99" t="s">
        <v>576</v>
      </c>
      <c r="E99" t="s">
        <v>590</v>
      </c>
      <c r="F99">
        <v>119164</v>
      </c>
      <c r="G99" t="s">
        <v>597</v>
      </c>
      <c r="J99" t="s">
        <v>611</v>
      </c>
      <c r="K99">
        <f t="shared" si="1"/>
        <v>119164</v>
      </c>
    </row>
    <row r="100" spans="1:11" x14ac:dyDescent="0.45">
      <c r="A100" t="s">
        <v>335</v>
      </c>
      <c r="B100" t="s">
        <v>574</v>
      </c>
      <c r="D100" t="s">
        <v>587</v>
      </c>
      <c r="E100" t="s">
        <v>591</v>
      </c>
      <c r="F100">
        <v>1045</v>
      </c>
      <c r="G100" t="s">
        <v>597</v>
      </c>
      <c r="J100" t="s">
        <v>613</v>
      </c>
      <c r="K100">
        <f t="shared" si="1"/>
        <v>-1045</v>
      </c>
    </row>
    <row r="101" spans="1:11" x14ac:dyDescent="0.45">
      <c r="A101" t="s">
        <v>113</v>
      </c>
      <c r="B101" t="s">
        <v>574</v>
      </c>
      <c r="D101" t="s">
        <v>588</v>
      </c>
      <c r="E101" t="s">
        <v>591</v>
      </c>
      <c r="F101">
        <v>707</v>
      </c>
      <c r="G101" t="s">
        <v>595</v>
      </c>
      <c r="J101" t="s">
        <v>613</v>
      </c>
      <c r="K101">
        <f t="shared" si="1"/>
        <v>-707</v>
      </c>
    </row>
    <row r="102" spans="1:11" x14ac:dyDescent="0.45">
      <c r="A102" t="s">
        <v>204</v>
      </c>
      <c r="B102" t="s">
        <v>574</v>
      </c>
      <c r="C102" t="s">
        <v>575</v>
      </c>
      <c r="E102" t="s">
        <v>590</v>
      </c>
      <c r="F102">
        <v>23036</v>
      </c>
      <c r="G102" t="s">
        <v>594</v>
      </c>
      <c r="J102" t="s">
        <v>607</v>
      </c>
      <c r="K102">
        <f t="shared" si="1"/>
        <v>23036</v>
      </c>
    </row>
    <row r="103" spans="1:11" x14ac:dyDescent="0.45">
      <c r="A103" t="s">
        <v>491</v>
      </c>
      <c r="B103" t="s">
        <v>574</v>
      </c>
      <c r="D103" t="s">
        <v>586</v>
      </c>
      <c r="E103" t="s">
        <v>591</v>
      </c>
      <c r="F103">
        <v>8975</v>
      </c>
      <c r="G103" t="s">
        <v>595</v>
      </c>
      <c r="J103" t="s">
        <v>614</v>
      </c>
      <c r="K103">
        <f t="shared" si="1"/>
        <v>-8975</v>
      </c>
    </row>
    <row r="104" spans="1:11" x14ac:dyDescent="0.45">
      <c r="A104" t="s">
        <v>491</v>
      </c>
      <c r="B104" t="s">
        <v>574</v>
      </c>
      <c r="C104" t="s">
        <v>580</v>
      </c>
      <c r="E104" t="s">
        <v>590</v>
      </c>
      <c r="F104">
        <v>143819</v>
      </c>
      <c r="G104" t="s">
        <v>594</v>
      </c>
      <c r="J104" t="s">
        <v>613</v>
      </c>
      <c r="K104">
        <f t="shared" si="1"/>
        <v>143819</v>
      </c>
    </row>
    <row r="105" spans="1:11" x14ac:dyDescent="0.45">
      <c r="A105" t="s">
        <v>529</v>
      </c>
      <c r="B105" t="s">
        <v>574</v>
      </c>
      <c r="C105" t="s">
        <v>578</v>
      </c>
      <c r="E105" t="s">
        <v>590</v>
      </c>
      <c r="F105">
        <v>74825</v>
      </c>
      <c r="G105" t="s">
        <v>596</v>
      </c>
      <c r="J105" t="s">
        <v>611</v>
      </c>
      <c r="K105">
        <f t="shared" si="1"/>
        <v>74825</v>
      </c>
    </row>
    <row r="106" spans="1:11" x14ac:dyDescent="0.45">
      <c r="A106" t="s">
        <v>57</v>
      </c>
      <c r="B106" t="s">
        <v>574</v>
      </c>
      <c r="C106" t="s">
        <v>576</v>
      </c>
      <c r="E106" t="s">
        <v>590</v>
      </c>
      <c r="F106">
        <v>162585</v>
      </c>
      <c r="G106" t="s">
        <v>594</v>
      </c>
      <c r="J106" t="s">
        <v>610</v>
      </c>
      <c r="K106">
        <f t="shared" si="1"/>
        <v>162585</v>
      </c>
    </row>
    <row r="107" spans="1:11" x14ac:dyDescent="0.45">
      <c r="A107" t="s">
        <v>263</v>
      </c>
      <c r="B107" t="s">
        <v>574</v>
      </c>
      <c r="D107" t="s">
        <v>589</v>
      </c>
      <c r="E107" t="s">
        <v>591</v>
      </c>
      <c r="F107">
        <v>6753</v>
      </c>
      <c r="G107" t="s">
        <v>598</v>
      </c>
      <c r="J107" t="s">
        <v>611</v>
      </c>
      <c r="K107">
        <f t="shared" si="1"/>
        <v>-6753</v>
      </c>
    </row>
    <row r="108" spans="1:11" x14ac:dyDescent="0.45">
      <c r="A108" t="s">
        <v>135</v>
      </c>
      <c r="B108" t="s">
        <v>574</v>
      </c>
      <c r="C108" t="s">
        <v>579</v>
      </c>
      <c r="E108" t="s">
        <v>590</v>
      </c>
      <c r="F108">
        <v>133096</v>
      </c>
      <c r="G108" t="s">
        <v>598</v>
      </c>
      <c r="J108" t="s">
        <v>608</v>
      </c>
      <c r="K108">
        <f t="shared" si="1"/>
        <v>133096</v>
      </c>
    </row>
    <row r="109" spans="1:11" x14ac:dyDescent="0.45">
      <c r="A109" t="s">
        <v>135</v>
      </c>
      <c r="B109" t="s">
        <v>574</v>
      </c>
      <c r="E109" t="s">
        <v>592</v>
      </c>
      <c r="F109">
        <v>31566</v>
      </c>
      <c r="G109" t="s">
        <v>593</v>
      </c>
      <c r="H109" t="s">
        <v>604</v>
      </c>
      <c r="I109">
        <v>-8.32</v>
      </c>
      <c r="J109" t="s">
        <v>613</v>
      </c>
      <c r="K109">
        <f t="shared" si="1"/>
        <v>-31566</v>
      </c>
    </row>
    <row r="110" spans="1:11" x14ac:dyDescent="0.45">
      <c r="A110" t="s">
        <v>520</v>
      </c>
      <c r="B110" t="s">
        <v>574</v>
      </c>
      <c r="D110" t="s">
        <v>585</v>
      </c>
      <c r="E110" t="s">
        <v>591</v>
      </c>
      <c r="F110">
        <v>8107</v>
      </c>
      <c r="G110" t="s">
        <v>596</v>
      </c>
      <c r="J110" t="s">
        <v>611</v>
      </c>
      <c r="K110">
        <f t="shared" si="1"/>
        <v>-8107</v>
      </c>
    </row>
    <row r="111" spans="1:11" x14ac:dyDescent="0.45">
      <c r="A111" t="s">
        <v>342</v>
      </c>
      <c r="B111" t="s">
        <v>574</v>
      </c>
      <c r="C111" t="s">
        <v>576</v>
      </c>
      <c r="E111" t="s">
        <v>590</v>
      </c>
      <c r="F111">
        <v>78038</v>
      </c>
      <c r="G111" t="s">
        <v>597</v>
      </c>
      <c r="J111" t="s">
        <v>614</v>
      </c>
      <c r="K111">
        <f t="shared" si="1"/>
        <v>78038</v>
      </c>
    </row>
    <row r="112" spans="1:11" x14ac:dyDescent="0.45">
      <c r="A112" t="s">
        <v>342</v>
      </c>
      <c r="B112" t="s">
        <v>574</v>
      </c>
      <c r="D112" t="s">
        <v>584</v>
      </c>
      <c r="E112" t="s">
        <v>591</v>
      </c>
      <c r="F112">
        <v>1932</v>
      </c>
      <c r="G112" t="s">
        <v>593</v>
      </c>
      <c r="J112" t="s">
        <v>612</v>
      </c>
      <c r="K112">
        <f t="shared" si="1"/>
        <v>-1932</v>
      </c>
    </row>
    <row r="113" spans="1:11" x14ac:dyDescent="0.45">
      <c r="A113" t="s">
        <v>428</v>
      </c>
      <c r="B113" t="s">
        <v>574</v>
      </c>
      <c r="C113" t="s">
        <v>578</v>
      </c>
      <c r="E113" t="s">
        <v>590</v>
      </c>
      <c r="F113">
        <v>59010</v>
      </c>
      <c r="G113" t="s">
        <v>598</v>
      </c>
      <c r="J113" t="s">
        <v>610</v>
      </c>
      <c r="K113">
        <f t="shared" si="1"/>
        <v>59010</v>
      </c>
    </row>
    <row r="114" spans="1:11" x14ac:dyDescent="0.45">
      <c r="A114" t="s">
        <v>255</v>
      </c>
      <c r="B114" t="s">
        <v>574</v>
      </c>
      <c r="D114" t="s">
        <v>585</v>
      </c>
      <c r="E114" t="s">
        <v>591</v>
      </c>
      <c r="F114">
        <v>9237</v>
      </c>
      <c r="G114" t="s">
        <v>596</v>
      </c>
      <c r="J114" t="s">
        <v>611</v>
      </c>
      <c r="K114">
        <f t="shared" si="1"/>
        <v>-9237</v>
      </c>
    </row>
    <row r="115" spans="1:11" x14ac:dyDescent="0.45">
      <c r="A115" t="s">
        <v>255</v>
      </c>
      <c r="B115" t="s">
        <v>574</v>
      </c>
      <c r="D115" t="s">
        <v>586</v>
      </c>
      <c r="E115" t="s">
        <v>591</v>
      </c>
      <c r="F115">
        <v>5591</v>
      </c>
      <c r="G115" t="s">
        <v>597</v>
      </c>
      <c r="J115" t="s">
        <v>611</v>
      </c>
      <c r="K115">
        <f t="shared" si="1"/>
        <v>-5591</v>
      </c>
    </row>
    <row r="116" spans="1:11" x14ac:dyDescent="0.45">
      <c r="A116" t="s">
        <v>192</v>
      </c>
      <c r="B116" t="s">
        <v>574</v>
      </c>
      <c r="D116" t="s">
        <v>585</v>
      </c>
      <c r="E116" t="s">
        <v>591</v>
      </c>
      <c r="F116">
        <v>1376</v>
      </c>
      <c r="G116" t="s">
        <v>593</v>
      </c>
      <c r="J116" t="s">
        <v>609</v>
      </c>
      <c r="K116">
        <f t="shared" si="1"/>
        <v>-1376</v>
      </c>
    </row>
    <row r="117" spans="1:11" x14ac:dyDescent="0.45">
      <c r="A117" t="s">
        <v>192</v>
      </c>
      <c r="B117" t="s">
        <v>574</v>
      </c>
      <c r="D117" t="s">
        <v>585</v>
      </c>
      <c r="E117" t="s">
        <v>591</v>
      </c>
      <c r="F117">
        <v>11007</v>
      </c>
      <c r="G117" t="s">
        <v>596</v>
      </c>
      <c r="J117" t="s">
        <v>610</v>
      </c>
      <c r="K117">
        <f t="shared" si="1"/>
        <v>-11007</v>
      </c>
    </row>
    <row r="118" spans="1:11" x14ac:dyDescent="0.45">
      <c r="A118" t="s">
        <v>192</v>
      </c>
      <c r="B118" t="s">
        <v>574</v>
      </c>
      <c r="D118" t="s">
        <v>585</v>
      </c>
      <c r="E118" t="s">
        <v>591</v>
      </c>
      <c r="F118">
        <v>5434</v>
      </c>
      <c r="G118" t="s">
        <v>598</v>
      </c>
      <c r="J118" t="s">
        <v>606</v>
      </c>
      <c r="K118">
        <f t="shared" si="1"/>
        <v>-5434</v>
      </c>
    </row>
    <row r="119" spans="1:11" x14ac:dyDescent="0.45">
      <c r="A119" t="s">
        <v>105</v>
      </c>
      <c r="B119" t="s">
        <v>574</v>
      </c>
      <c r="D119" t="s">
        <v>587</v>
      </c>
      <c r="E119" t="s">
        <v>591</v>
      </c>
      <c r="F119">
        <v>1583</v>
      </c>
      <c r="G119" t="s">
        <v>593</v>
      </c>
      <c r="J119" t="s">
        <v>610</v>
      </c>
      <c r="K119">
        <f t="shared" si="1"/>
        <v>-1583</v>
      </c>
    </row>
    <row r="120" spans="1:11" x14ac:dyDescent="0.45">
      <c r="A120" t="s">
        <v>105</v>
      </c>
      <c r="B120" t="s">
        <v>574</v>
      </c>
      <c r="D120" t="s">
        <v>587</v>
      </c>
      <c r="E120" t="s">
        <v>591</v>
      </c>
      <c r="F120">
        <v>1455</v>
      </c>
      <c r="G120" t="s">
        <v>594</v>
      </c>
      <c r="J120" t="s">
        <v>611</v>
      </c>
      <c r="K120">
        <f t="shared" si="1"/>
        <v>-1455</v>
      </c>
    </row>
    <row r="121" spans="1:11" x14ac:dyDescent="0.45">
      <c r="A121" t="s">
        <v>105</v>
      </c>
      <c r="B121" t="s">
        <v>574</v>
      </c>
      <c r="C121" t="s">
        <v>575</v>
      </c>
      <c r="E121" t="s">
        <v>590</v>
      </c>
      <c r="F121">
        <v>166197</v>
      </c>
      <c r="G121" t="s">
        <v>596</v>
      </c>
      <c r="J121" t="s">
        <v>605</v>
      </c>
      <c r="K121">
        <f t="shared" si="1"/>
        <v>166197</v>
      </c>
    </row>
    <row r="122" spans="1:11" x14ac:dyDescent="0.45">
      <c r="A122" t="s">
        <v>105</v>
      </c>
      <c r="B122" t="s">
        <v>574</v>
      </c>
      <c r="D122" t="s">
        <v>588</v>
      </c>
      <c r="E122" t="s">
        <v>591</v>
      </c>
      <c r="F122">
        <v>1779</v>
      </c>
      <c r="G122" t="s">
        <v>597</v>
      </c>
      <c r="J122" t="s">
        <v>610</v>
      </c>
      <c r="K122">
        <f t="shared" si="1"/>
        <v>-1779</v>
      </c>
    </row>
    <row r="123" spans="1:11" x14ac:dyDescent="0.45">
      <c r="A123" t="s">
        <v>346</v>
      </c>
      <c r="B123" t="s">
        <v>574</v>
      </c>
      <c r="C123" t="s">
        <v>579</v>
      </c>
      <c r="E123" t="s">
        <v>590</v>
      </c>
      <c r="F123">
        <v>55442</v>
      </c>
      <c r="G123" t="s">
        <v>598</v>
      </c>
      <c r="J123" t="s">
        <v>614</v>
      </c>
      <c r="K123">
        <f t="shared" si="1"/>
        <v>55442</v>
      </c>
    </row>
    <row r="124" spans="1:11" x14ac:dyDescent="0.45">
      <c r="A124" t="s">
        <v>346</v>
      </c>
      <c r="B124" t="s">
        <v>574</v>
      </c>
      <c r="D124" t="s">
        <v>585</v>
      </c>
      <c r="E124" t="s">
        <v>591</v>
      </c>
      <c r="F124">
        <v>4846</v>
      </c>
      <c r="G124" t="s">
        <v>594</v>
      </c>
      <c r="J124" t="s">
        <v>609</v>
      </c>
      <c r="K124">
        <f t="shared" si="1"/>
        <v>-4846</v>
      </c>
    </row>
    <row r="125" spans="1:11" x14ac:dyDescent="0.45">
      <c r="A125" t="s">
        <v>239</v>
      </c>
      <c r="B125" t="s">
        <v>574</v>
      </c>
      <c r="D125" t="s">
        <v>584</v>
      </c>
      <c r="E125" t="s">
        <v>591</v>
      </c>
      <c r="F125">
        <v>3880</v>
      </c>
      <c r="G125" t="s">
        <v>597</v>
      </c>
      <c r="J125" t="s">
        <v>612</v>
      </c>
      <c r="K125">
        <f t="shared" si="1"/>
        <v>-3880</v>
      </c>
    </row>
    <row r="126" spans="1:11" x14ac:dyDescent="0.45">
      <c r="A126" t="s">
        <v>225</v>
      </c>
      <c r="B126" t="s">
        <v>574</v>
      </c>
      <c r="D126" t="s">
        <v>585</v>
      </c>
      <c r="E126" t="s">
        <v>591</v>
      </c>
      <c r="F126">
        <v>941</v>
      </c>
      <c r="G126" t="s">
        <v>593</v>
      </c>
      <c r="J126" t="s">
        <v>613</v>
      </c>
      <c r="K126">
        <f t="shared" si="1"/>
        <v>-941</v>
      </c>
    </row>
    <row r="127" spans="1:11" x14ac:dyDescent="0.45">
      <c r="A127" t="s">
        <v>505</v>
      </c>
      <c r="B127" t="s">
        <v>574</v>
      </c>
      <c r="C127" t="s">
        <v>576</v>
      </c>
      <c r="E127" t="s">
        <v>590</v>
      </c>
      <c r="F127">
        <v>138578</v>
      </c>
      <c r="G127" t="s">
        <v>595</v>
      </c>
      <c r="J127" t="s">
        <v>612</v>
      </c>
      <c r="K127">
        <f t="shared" si="1"/>
        <v>138578</v>
      </c>
    </row>
    <row r="128" spans="1:11" x14ac:dyDescent="0.45">
      <c r="A128" t="s">
        <v>306</v>
      </c>
      <c r="B128" t="s">
        <v>574</v>
      </c>
      <c r="D128" t="s">
        <v>582</v>
      </c>
      <c r="E128" t="s">
        <v>591</v>
      </c>
      <c r="F128">
        <v>20109</v>
      </c>
      <c r="G128" t="s">
        <v>593</v>
      </c>
      <c r="J128" t="s">
        <v>613</v>
      </c>
      <c r="K128">
        <f t="shared" si="1"/>
        <v>-20109</v>
      </c>
    </row>
    <row r="129" spans="1:11" x14ac:dyDescent="0.45">
      <c r="A129" t="s">
        <v>306</v>
      </c>
      <c r="B129" t="s">
        <v>574</v>
      </c>
      <c r="D129" t="s">
        <v>587</v>
      </c>
      <c r="E129" t="s">
        <v>591</v>
      </c>
      <c r="F129">
        <v>1661</v>
      </c>
      <c r="G129" t="s">
        <v>593</v>
      </c>
      <c r="J129" t="s">
        <v>609</v>
      </c>
      <c r="K129">
        <f t="shared" si="1"/>
        <v>-1661</v>
      </c>
    </row>
    <row r="130" spans="1:11" x14ac:dyDescent="0.45">
      <c r="A130" t="s">
        <v>146</v>
      </c>
      <c r="B130" t="s">
        <v>574</v>
      </c>
      <c r="D130" t="s">
        <v>588</v>
      </c>
      <c r="E130" t="s">
        <v>591</v>
      </c>
      <c r="F130">
        <v>2399</v>
      </c>
      <c r="G130" t="s">
        <v>595</v>
      </c>
      <c r="J130" t="s">
        <v>607</v>
      </c>
      <c r="K130">
        <f t="shared" ref="K130:K193" si="2">IF(E130= "Income", F130, -F130)</f>
        <v>-2399</v>
      </c>
    </row>
    <row r="131" spans="1:11" x14ac:dyDescent="0.45">
      <c r="A131" t="s">
        <v>146</v>
      </c>
      <c r="B131" t="s">
        <v>574</v>
      </c>
      <c r="E131" t="s">
        <v>592</v>
      </c>
      <c r="F131">
        <v>46426</v>
      </c>
      <c r="G131" t="s">
        <v>595</v>
      </c>
      <c r="H131" t="s">
        <v>602</v>
      </c>
      <c r="I131">
        <v>-9.9</v>
      </c>
      <c r="J131" t="s">
        <v>606</v>
      </c>
      <c r="K131">
        <f t="shared" si="2"/>
        <v>-46426</v>
      </c>
    </row>
    <row r="132" spans="1:11" x14ac:dyDescent="0.45">
      <c r="A132" t="s">
        <v>303</v>
      </c>
      <c r="B132" t="s">
        <v>565</v>
      </c>
      <c r="D132" t="s">
        <v>586</v>
      </c>
      <c r="E132" t="s">
        <v>591</v>
      </c>
      <c r="F132">
        <v>18035</v>
      </c>
      <c r="G132" t="s">
        <v>598</v>
      </c>
      <c r="J132" t="s">
        <v>606</v>
      </c>
      <c r="K132">
        <f t="shared" si="2"/>
        <v>-18035</v>
      </c>
    </row>
    <row r="133" spans="1:11" x14ac:dyDescent="0.45">
      <c r="A133" t="s">
        <v>303</v>
      </c>
      <c r="B133" t="s">
        <v>565</v>
      </c>
      <c r="C133" t="s">
        <v>579</v>
      </c>
      <c r="E133" t="s">
        <v>590</v>
      </c>
      <c r="F133">
        <v>126028</v>
      </c>
      <c r="G133" t="s">
        <v>596</v>
      </c>
      <c r="J133" t="s">
        <v>611</v>
      </c>
      <c r="K133">
        <f t="shared" si="2"/>
        <v>126028</v>
      </c>
    </row>
    <row r="134" spans="1:11" x14ac:dyDescent="0.45">
      <c r="A134" t="s">
        <v>561</v>
      </c>
      <c r="B134" t="s">
        <v>565</v>
      </c>
      <c r="D134" t="s">
        <v>582</v>
      </c>
      <c r="E134" t="s">
        <v>591</v>
      </c>
      <c r="F134">
        <v>19781</v>
      </c>
      <c r="G134" t="s">
        <v>597</v>
      </c>
      <c r="J134" t="s">
        <v>607</v>
      </c>
      <c r="K134">
        <f t="shared" si="2"/>
        <v>-19781</v>
      </c>
    </row>
    <row r="135" spans="1:11" x14ac:dyDescent="0.45">
      <c r="A135" t="s">
        <v>410</v>
      </c>
      <c r="B135" t="s">
        <v>565</v>
      </c>
      <c r="D135" t="s">
        <v>588</v>
      </c>
      <c r="E135" t="s">
        <v>591</v>
      </c>
      <c r="F135">
        <v>6992</v>
      </c>
      <c r="G135" t="s">
        <v>597</v>
      </c>
      <c r="J135" t="s">
        <v>606</v>
      </c>
      <c r="K135">
        <f t="shared" si="2"/>
        <v>-6992</v>
      </c>
    </row>
    <row r="136" spans="1:11" x14ac:dyDescent="0.45">
      <c r="A136" t="s">
        <v>410</v>
      </c>
      <c r="B136" t="s">
        <v>565</v>
      </c>
      <c r="D136" t="s">
        <v>583</v>
      </c>
      <c r="E136" t="s">
        <v>591</v>
      </c>
      <c r="F136">
        <v>6358</v>
      </c>
      <c r="G136" t="s">
        <v>596</v>
      </c>
      <c r="J136" t="s">
        <v>614</v>
      </c>
      <c r="K136">
        <f t="shared" si="2"/>
        <v>-6358</v>
      </c>
    </row>
    <row r="137" spans="1:11" x14ac:dyDescent="0.45">
      <c r="A137" t="s">
        <v>410</v>
      </c>
      <c r="B137" t="s">
        <v>565</v>
      </c>
      <c r="D137" t="s">
        <v>584</v>
      </c>
      <c r="E137" t="s">
        <v>591</v>
      </c>
      <c r="F137">
        <v>4364</v>
      </c>
      <c r="G137" t="s">
        <v>597</v>
      </c>
      <c r="J137" t="s">
        <v>605</v>
      </c>
      <c r="K137">
        <f t="shared" si="2"/>
        <v>-4364</v>
      </c>
    </row>
    <row r="138" spans="1:11" x14ac:dyDescent="0.45">
      <c r="A138" t="s">
        <v>410</v>
      </c>
      <c r="B138" t="s">
        <v>565</v>
      </c>
      <c r="E138" t="s">
        <v>592</v>
      </c>
      <c r="F138">
        <v>62065</v>
      </c>
      <c r="G138" t="s">
        <v>596</v>
      </c>
      <c r="H138" t="s">
        <v>602</v>
      </c>
      <c r="I138">
        <v>-11.21</v>
      </c>
      <c r="J138" t="s">
        <v>605</v>
      </c>
      <c r="K138">
        <f t="shared" si="2"/>
        <v>-62065</v>
      </c>
    </row>
    <row r="139" spans="1:11" x14ac:dyDescent="0.45">
      <c r="A139" t="s">
        <v>12</v>
      </c>
      <c r="B139" t="s">
        <v>565</v>
      </c>
      <c r="C139" t="s">
        <v>576</v>
      </c>
      <c r="E139" t="s">
        <v>590</v>
      </c>
      <c r="F139">
        <v>172815</v>
      </c>
      <c r="G139" t="s">
        <v>594</v>
      </c>
      <c r="J139" t="s">
        <v>607</v>
      </c>
      <c r="K139">
        <f t="shared" si="2"/>
        <v>172815</v>
      </c>
    </row>
    <row r="140" spans="1:11" x14ac:dyDescent="0.45">
      <c r="A140" t="s">
        <v>12</v>
      </c>
      <c r="B140" t="s">
        <v>565</v>
      </c>
      <c r="D140" t="s">
        <v>583</v>
      </c>
      <c r="E140" t="s">
        <v>591</v>
      </c>
      <c r="F140">
        <v>16962</v>
      </c>
      <c r="G140" t="s">
        <v>596</v>
      </c>
      <c r="J140" t="s">
        <v>606</v>
      </c>
      <c r="K140">
        <f t="shared" si="2"/>
        <v>-16962</v>
      </c>
    </row>
    <row r="141" spans="1:11" x14ac:dyDescent="0.45">
      <c r="A141" t="s">
        <v>12</v>
      </c>
      <c r="B141" t="s">
        <v>565</v>
      </c>
      <c r="D141" t="s">
        <v>583</v>
      </c>
      <c r="E141" t="s">
        <v>591</v>
      </c>
      <c r="F141">
        <v>18410</v>
      </c>
      <c r="G141" t="s">
        <v>595</v>
      </c>
      <c r="J141" t="s">
        <v>606</v>
      </c>
      <c r="K141">
        <f t="shared" si="2"/>
        <v>-18410</v>
      </c>
    </row>
    <row r="142" spans="1:11" x14ac:dyDescent="0.45">
      <c r="A142" t="s">
        <v>43</v>
      </c>
      <c r="B142" t="s">
        <v>565</v>
      </c>
      <c r="C142" t="s">
        <v>579</v>
      </c>
      <c r="E142" t="s">
        <v>590</v>
      </c>
      <c r="F142">
        <v>107876</v>
      </c>
      <c r="G142" t="s">
        <v>595</v>
      </c>
      <c r="J142" t="s">
        <v>614</v>
      </c>
      <c r="K142">
        <f t="shared" si="2"/>
        <v>107876</v>
      </c>
    </row>
    <row r="143" spans="1:11" x14ac:dyDescent="0.45">
      <c r="A143" t="s">
        <v>469</v>
      </c>
      <c r="B143" t="s">
        <v>565</v>
      </c>
      <c r="E143" t="s">
        <v>592</v>
      </c>
      <c r="F143">
        <v>2633</v>
      </c>
      <c r="G143" t="s">
        <v>598</v>
      </c>
      <c r="H143" t="s">
        <v>599</v>
      </c>
      <c r="I143">
        <v>21.64</v>
      </c>
      <c r="J143" t="s">
        <v>612</v>
      </c>
      <c r="K143">
        <f t="shared" si="2"/>
        <v>-2633</v>
      </c>
    </row>
    <row r="144" spans="1:11" x14ac:dyDescent="0.45">
      <c r="A144" t="s">
        <v>509</v>
      </c>
      <c r="B144" t="s">
        <v>565</v>
      </c>
      <c r="D144" t="s">
        <v>584</v>
      </c>
      <c r="E144" t="s">
        <v>591</v>
      </c>
      <c r="F144">
        <v>4108</v>
      </c>
      <c r="G144" t="s">
        <v>593</v>
      </c>
      <c r="J144" t="s">
        <v>610</v>
      </c>
      <c r="K144">
        <f t="shared" si="2"/>
        <v>-4108</v>
      </c>
    </row>
    <row r="145" spans="1:11" x14ac:dyDescent="0.45">
      <c r="A145" t="s">
        <v>389</v>
      </c>
      <c r="B145" t="s">
        <v>565</v>
      </c>
      <c r="C145" t="s">
        <v>581</v>
      </c>
      <c r="E145" t="s">
        <v>590</v>
      </c>
      <c r="F145">
        <v>169553</v>
      </c>
      <c r="G145" t="s">
        <v>598</v>
      </c>
      <c r="J145" t="s">
        <v>614</v>
      </c>
      <c r="K145">
        <f t="shared" si="2"/>
        <v>169553</v>
      </c>
    </row>
    <row r="146" spans="1:11" x14ac:dyDescent="0.45">
      <c r="A146" t="s">
        <v>389</v>
      </c>
      <c r="B146" t="s">
        <v>565</v>
      </c>
      <c r="C146" t="s">
        <v>579</v>
      </c>
      <c r="E146" t="s">
        <v>590</v>
      </c>
      <c r="F146">
        <v>103719</v>
      </c>
      <c r="G146" t="s">
        <v>597</v>
      </c>
      <c r="J146" t="s">
        <v>608</v>
      </c>
      <c r="K146">
        <f t="shared" si="2"/>
        <v>103719</v>
      </c>
    </row>
    <row r="147" spans="1:11" x14ac:dyDescent="0.45">
      <c r="A147" t="s">
        <v>389</v>
      </c>
      <c r="B147" t="s">
        <v>565</v>
      </c>
      <c r="D147" t="s">
        <v>586</v>
      </c>
      <c r="E147" t="s">
        <v>591</v>
      </c>
      <c r="F147">
        <v>18697</v>
      </c>
      <c r="G147" t="s">
        <v>595</v>
      </c>
      <c r="J147" t="s">
        <v>614</v>
      </c>
      <c r="K147">
        <f t="shared" si="2"/>
        <v>-18697</v>
      </c>
    </row>
    <row r="148" spans="1:11" x14ac:dyDescent="0.45">
      <c r="A148" t="s">
        <v>425</v>
      </c>
      <c r="B148" t="s">
        <v>565</v>
      </c>
      <c r="D148" t="s">
        <v>588</v>
      </c>
      <c r="E148" t="s">
        <v>591</v>
      </c>
      <c r="F148">
        <v>2735</v>
      </c>
      <c r="G148" t="s">
        <v>593</v>
      </c>
      <c r="J148" t="s">
        <v>614</v>
      </c>
      <c r="K148">
        <f t="shared" si="2"/>
        <v>-2735</v>
      </c>
    </row>
    <row r="149" spans="1:11" x14ac:dyDescent="0.45">
      <c r="A149" t="s">
        <v>111</v>
      </c>
      <c r="B149" t="s">
        <v>565</v>
      </c>
      <c r="D149" t="s">
        <v>584</v>
      </c>
      <c r="E149" t="s">
        <v>591</v>
      </c>
      <c r="F149">
        <v>5805</v>
      </c>
      <c r="G149" t="s">
        <v>597</v>
      </c>
      <c r="J149" t="s">
        <v>610</v>
      </c>
      <c r="K149">
        <f t="shared" si="2"/>
        <v>-5805</v>
      </c>
    </row>
    <row r="150" spans="1:11" x14ac:dyDescent="0.45">
      <c r="A150" t="s">
        <v>111</v>
      </c>
      <c r="B150" t="s">
        <v>565</v>
      </c>
      <c r="D150" t="s">
        <v>586</v>
      </c>
      <c r="E150" t="s">
        <v>591</v>
      </c>
      <c r="F150">
        <v>10255</v>
      </c>
      <c r="G150" t="s">
        <v>594</v>
      </c>
      <c r="J150" t="s">
        <v>613</v>
      </c>
      <c r="K150">
        <f t="shared" si="2"/>
        <v>-10255</v>
      </c>
    </row>
    <row r="151" spans="1:11" x14ac:dyDescent="0.45">
      <c r="A151" t="s">
        <v>128</v>
      </c>
      <c r="B151" t="s">
        <v>565</v>
      </c>
      <c r="E151" t="s">
        <v>592</v>
      </c>
      <c r="F151">
        <v>84537</v>
      </c>
      <c r="G151" t="s">
        <v>595</v>
      </c>
      <c r="H151" t="s">
        <v>600</v>
      </c>
      <c r="I151">
        <v>5.18</v>
      </c>
      <c r="J151" t="s">
        <v>611</v>
      </c>
      <c r="K151">
        <f t="shared" si="2"/>
        <v>-84537</v>
      </c>
    </row>
    <row r="152" spans="1:11" x14ac:dyDescent="0.45">
      <c r="A152" t="s">
        <v>128</v>
      </c>
      <c r="B152" t="s">
        <v>565</v>
      </c>
      <c r="C152" t="s">
        <v>575</v>
      </c>
      <c r="E152" t="s">
        <v>590</v>
      </c>
      <c r="F152">
        <v>92500</v>
      </c>
      <c r="G152" t="s">
        <v>596</v>
      </c>
      <c r="J152" t="s">
        <v>613</v>
      </c>
      <c r="K152">
        <f t="shared" si="2"/>
        <v>92500</v>
      </c>
    </row>
    <row r="153" spans="1:11" x14ac:dyDescent="0.45">
      <c r="A153" t="s">
        <v>128</v>
      </c>
      <c r="B153" t="s">
        <v>565</v>
      </c>
      <c r="D153" t="s">
        <v>584</v>
      </c>
      <c r="E153" t="s">
        <v>591</v>
      </c>
      <c r="F153">
        <v>1323</v>
      </c>
      <c r="G153" t="s">
        <v>595</v>
      </c>
      <c r="J153" t="s">
        <v>612</v>
      </c>
      <c r="K153">
        <f t="shared" si="2"/>
        <v>-1323</v>
      </c>
    </row>
    <row r="154" spans="1:11" x14ac:dyDescent="0.45">
      <c r="A154" t="s">
        <v>128</v>
      </c>
      <c r="B154" t="s">
        <v>565</v>
      </c>
      <c r="D154" t="s">
        <v>587</v>
      </c>
      <c r="E154" t="s">
        <v>591</v>
      </c>
      <c r="F154">
        <v>2432</v>
      </c>
      <c r="G154" t="s">
        <v>597</v>
      </c>
      <c r="J154" t="s">
        <v>606</v>
      </c>
      <c r="K154">
        <f t="shared" si="2"/>
        <v>-2432</v>
      </c>
    </row>
    <row r="155" spans="1:11" x14ac:dyDescent="0.45">
      <c r="A155" t="s">
        <v>402</v>
      </c>
      <c r="B155" t="s">
        <v>565</v>
      </c>
      <c r="C155" t="s">
        <v>580</v>
      </c>
      <c r="E155" t="s">
        <v>590</v>
      </c>
      <c r="F155">
        <v>125052</v>
      </c>
      <c r="G155" t="s">
        <v>595</v>
      </c>
      <c r="J155" t="s">
        <v>606</v>
      </c>
      <c r="K155">
        <f t="shared" si="2"/>
        <v>125052</v>
      </c>
    </row>
    <row r="156" spans="1:11" x14ac:dyDescent="0.45">
      <c r="A156" t="s">
        <v>360</v>
      </c>
      <c r="B156" t="s">
        <v>565</v>
      </c>
      <c r="C156" t="s">
        <v>581</v>
      </c>
      <c r="E156" t="s">
        <v>590</v>
      </c>
      <c r="F156">
        <v>45426</v>
      </c>
      <c r="G156" t="s">
        <v>598</v>
      </c>
      <c r="J156" t="s">
        <v>612</v>
      </c>
      <c r="K156">
        <f t="shared" si="2"/>
        <v>45426</v>
      </c>
    </row>
    <row r="157" spans="1:11" x14ac:dyDescent="0.45">
      <c r="A157" t="s">
        <v>32</v>
      </c>
      <c r="B157" t="s">
        <v>565</v>
      </c>
      <c r="E157" t="s">
        <v>592</v>
      </c>
      <c r="F157">
        <v>21937</v>
      </c>
      <c r="G157" t="s">
        <v>593</v>
      </c>
      <c r="H157" t="s">
        <v>601</v>
      </c>
      <c r="I157">
        <v>6.83</v>
      </c>
      <c r="J157" t="s">
        <v>612</v>
      </c>
      <c r="K157">
        <f t="shared" si="2"/>
        <v>-21937</v>
      </c>
    </row>
    <row r="158" spans="1:11" x14ac:dyDescent="0.45">
      <c r="A158" t="s">
        <v>32</v>
      </c>
      <c r="B158" t="s">
        <v>565</v>
      </c>
      <c r="D158" t="s">
        <v>588</v>
      </c>
      <c r="E158" t="s">
        <v>591</v>
      </c>
      <c r="F158">
        <v>10913</v>
      </c>
      <c r="G158" t="s">
        <v>595</v>
      </c>
      <c r="J158" t="s">
        <v>612</v>
      </c>
      <c r="K158">
        <f t="shared" si="2"/>
        <v>-10913</v>
      </c>
    </row>
    <row r="159" spans="1:11" x14ac:dyDescent="0.45">
      <c r="A159" t="s">
        <v>304</v>
      </c>
      <c r="B159" t="s">
        <v>565</v>
      </c>
      <c r="E159" t="s">
        <v>592</v>
      </c>
      <c r="F159">
        <v>10324</v>
      </c>
      <c r="G159" t="s">
        <v>598</v>
      </c>
      <c r="H159" t="s">
        <v>601</v>
      </c>
      <c r="I159">
        <v>4.54</v>
      </c>
      <c r="J159" t="s">
        <v>607</v>
      </c>
      <c r="K159">
        <f t="shared" si="2"/>
        <v>-10324</v>
      </c>
    </row>
    <row r="160" spans="1:11" x14ac:dyDescent="0.45">
      <c r="A160" t="s">
        <v>304</v>
      </c>
      <c r="B160" t="s">
        <v>565</v>
      </c>
      <c r="C160" t="s">
        <v>580</v>
      </c>
      <c r="E160" t="s">
        <v>590</v>
      </c>
      <c r="F160">
        <v>64163</v>
      </c>
      <c r="G160" t="s">
        <v>594</v>
      </c>
      <c r="J160" t="s">
        <v>614</v>
      </c>
      <c r="K160">
        <f t="shared" si="2"/>
        <v>64163</v>
      </c>
    </row>
    <row r="161" spans="1:11" x14ac:dyDescent="0.45">
      <c r="A161" t="s">
        <v>109</v>
      </c>
      <c r="B161" t="s">
        <v>565</v>
      </c>
      <c r="D161" t="s">
        <v>584</v>
      </c>
      <c r="E161" t="s">
        <v>591</v>
      </c>
      <c r="F161">
        <v>4916</v>
      </c>
      <c r="G161" t="s">
        <v>598</v>
      </c>
      <c r="J161" t="s">
        <v>614</v>
      </c>
      <c r="K161">
        <f t="shared" si="2"/>
        <v>-4916</v>
      </c>
    </row>
    <row r="162" spans="1:11" x14ac:dyDescent="0.45">
      <c r="A162" t="s">
        <v>109</v>
      </c>
      <c r="B162" t="s">
        <v>565</v>
      </c>
      <c r="D162" t="s">
        <v>589</v>
      </c>
      <c r="E162" t="s">
        <v>591</v>
      </c>
      <c r="F162">
        <v>2640</v>
      </c>
      <c r="G162" t="s">
        <v>597</v>
      </c>
      <c r="J162" t="s">
        <v>607</v>
      </c>
      <c r="K162">
        <f t="shared" si="2"/>
        <v>-2640</v>
      </c>
    </row>
    <row r="163" spans="1:11" x14ac:dyDescent="0.45">
      <c r="A163" t="s">
        <v>77</v>
      </c>
      <c r="B163" t="s">
        <v>565</v>
      </c>
      <c r="D163" t="s">
        <v>588</v>
      </c>
      <c r="E163" t="s">
        <v>591</v>
      </c>
      <c r="F163">
        <v>5639</v>
      </c>
      <c r="G163" t="s">
        <v>595</v>
      </c>
      <c r="J163" t="s">
        <v>608</v>
      </c>
      <c r="K163">
        <f t="shared" si="2"/>
        <v>-5639</v>
      </c>
    </row>
    <row r="164" spans="1:11" x14ac:dyDescent="0.45">
      <c r="A164" t="s">
        <v>77</v>
      </c>
      <c r="B164" t="s">
        <v>565</v>
      </c>
      <c r="C164" t="s">
        <v>576</v>
      </c>
      <c r="E164" t="s">
        <v>590</v>
      </c>
      <c r="F164">
        <v>147214</v>
      </c>
      <c r="G164" t="s">
        <v>598</v>
      </c>
      <c r="J164" t="s">
        <v>614</v>
      </c>
      <c r="K164">
        <f t="shared" si="2"/>
        <v>147214</v>
      </c>
    </row>
    <row r="165" spans="1:11" x14ac:dyDescent="0.45">
      <c r="A165" t="s">
        <v>537</v>
      </c>
      <c r="B165" t="s">
        <v>565</v>
      </c>
      <c r="D165" t="s">
        <v>589</v>
      </c>
      <c r="E165" t="s">
        <v>591</v>
      </c>
      <c r="F165">
        <v>18834</v>
      </c>
      <c r="G165" t="s">
        <v>598</v>
      </c>
      <c r="J165" t="s">
        <v>608</v>
      </c>
      <c r="K165">
        <f t="shared" si="2"/>
        <v>-18834</v>
      </c>
    </row>
    <row r="166" spans="1:11" x14ac:dyDescent="0.45">
      <c r="A166" t="s">
        <v>537</v>
      </c>
      <c r="B166" t="s">
        <v>565</v>
      </c>
      <c r="C166" t="s">
        <v>575</v>
      </c>
      <c r="E166" t="s">
        <v>590</v>
      </c>
      <c r="F166">
        <v>32479</v>
      </c>
      <c r="G166" t="s">
        <v>594</v>
      </c>
      <c r="J166" t="s">
        <v>612</v>
      </c>
      <c r="K166">
        <f t="shared" si="2"/>
        <v>32479</v>
      </c>
    </row>
    <row r="167" spans="1:11" x14ac:dyDescent="0.45">
      <c r="A167" t="s">
        <v>472</v>
      </c>
      <c r="B167" t="s">
        <v>565</v>
      </c>
      <c r="C167" t="s">
        <v>575</v>
      </c>
      <c r="E167" t="s">
        <v>590</v>
      </c>
      <c r="F167">
        <v>30373</v>
      </c>
      <c r="G167" t="s">
        <v>593</v>
      </c>
      <c r="J167" t="s">
        <v>610</v>
      </c>
      <c r="K167">
        <f t="shared" si="2"/>
        <v>30373</v>
      </c>
    </row>
    <row r="168" spans="1:11" x14ac:dyDescent="0.45">
      <c r="A168" t="s">
        <v>472</v>
      </c>
      <c r="B168" t="s">
        <v>565</v>
      </c>
      <c r="D168" t="s">
        <v>586</v>
      </c>
      <c r="E168" t="s">
        <v>591</v>
      </c>
      <c r="F168">
        <v>20849</v>
      </c>
      <c r="G168" t="s">
        <v>593</v>
      </c>
      <c r="J168" t="s">
        <v>609</v>
      </c>
      <c r="K168">
        <f t="shared" si="2"/>
        <v>-20849</v>
      </c>
    </row>
    <row r="169" spans="1:11" x14ac:dyDescent="0.45">
      <c r="A169" t="s">
        <v>209</v>
      </c>
      <c r="B169" t="s">
        <v>565</v>
      </c>
      <c r="D169" t="s">
        <v>582</v>
      </c>
      <c r="E169" t="s">
        <v>591</v>
      </c>
      <c r="F169">
        <v>26562</v>
      </c>
      <c r="G169" t="s">
        <v>598</v>
      </c>
      <c r="J169" t="s">
        <v>608</v>
      </c>
      <c r="K169">
        <f t="shared" si="2"/>
        <v>-26562</v>
      </c>
    </row>
    <row r="170" spans="1:11" x14ac:dyDescent="0.45">
      <c r="A170" t="s">
        <v>209</v>
      </c>
      <c r="B170" t="s">
        <v>565</v>
      </c>
      <c r="D170" t="s">
        <v>589</v>
      </c>
      <c r="E170" t="s">
        <v>591</v>
      </c>
      <c r="F170">
        <v>41459</v>
      </c>
      <c r="G170" t="s">
        <v>593</v>
      </c>
      <c r="J170" t="s">
        <v>609</v>
      </c>
      <c r="K170">
        <f t="shared" si="2"/>
        <v>-41459</v>
      </c>
    </row>
    <row r="171" spans="1:11" x14ac:dyDescent="0.45">
      <c r="A171" t="s">
        <v>209</v>
      </c>
      <c r="B171" t="s">
        <v>565</v>
      </c>
      <c r="D171" t="s">
        <v>589</v>
      </c>
      <c r="E171" t="s">
        <v>591</v>
      </c>
      <c r="F171">
        <v>32393</v>
      </c>
      <c r="G171" t="s">
        <v>593</v>
      </c>
      <c r="J171" t="s">
        <v>608</v>
      </c>
      <c r="K171">
        <f t="shared" si="2"/>
        <v>-32393</v>
      </c>
    </row>
    <row r="172" spans="1:11" x14ac:dyDescent="0.45">
      <c r="A172" t="s">
        <v>518</v>
      </c>
      <c r="B172" t="s">
        <v>565</v>
      </c>
      <c r="E172" t="s">
        <v>592</v>
      </c>
      <c r="F172">
        <v>18626</v>
      </c>
      <c r="G172" t="s">
        <v>597</v>
      </c>
      <c r="H172" t="s">
        <v>601</v>
      </c>
      <c r="I172">
        <v>19.97</v>
      </c>
      <c r="J172" t="s">
        <v>609</v>
      </c>
      <c r="K172">
        <f t="shared" si="2"/>
        <v>-18626</v>
      </c>
    </row>
    <row r="173" spans="1:11" x14ac:dyDescent="0.45">
      <c r="A173" t="s">
        <v>518</v>
      </c>
      <c r="B173" t="s">
        <v>565</v>
      </c>
      <c r="C173" t="s">
        <v>579</v>
      </c>
      <c r="E173" t="s">
        <v>590</v>
      </c>
      <c r="F173">
        <v>72771</v>
      </c>
      <c r="G173" t="s">
        <v>598</v>
      </c>
      <c r="J173" t="s">
        <v>605</v>
      </c>
      <c r="K173">
        <f t="shared" si="2"/>
        <v>72771</v>
      </c>
    </row>
    <row r="174" spans="1:11" x14ac:dyDescent="0.45">
      <c r="A174" t="s">
        <v>262</v>
      </c>
      <c r="B174" t="s">
        <v>565</v>
      </c>
      <c r="C174" t="s">
        <v>578</v>
      </c>
      <c r="E174" t="s">
        <v>590</v>
      </c>
      <c r="F174">
        <v>131987</v>
      </c>
      <c r="G174" t="s">
        <v>593</v>
      </c>
      <c r="J174" t="s">
        <v>608</v>
      </c>
      <c r="K174">
        <f t="shared" si="2"/>
        <v>131987</v>
      </c>
    </row>
    <row r="175" spans="1:11" x14ac:dyDescent="0.45">
      <c r="A175" t="s">
        <v>262</v>
      </c>
      <c r="B175" t="s">
        <v>565</v>
      </c>
      <c r="C175" t="s">
        <v>577</v>
      </c>
      <c r="E175" t="s">
        <v>590</v>
      </c>
      <c r="F175">
        <v>42856</v>
      </c>
      <c r="G175" t="s">
        <v>595</v>
      </c>
      <c r="J175" t="s">
        <v>605</v>
      </c>
      <c r="K175">
        <f t="shared" si="2"/>
        <v>42856</v>
      </c>
    </row>
    <row r="176" spans="1:11" x14ac:dyDescent="0.45">
      <c r="A176" t="s">
        <v>284</v>
      </c>
      <c r="B176" t="s">
        <v>564</v>
      </c>
      <c r="C176" t="s">
        <v>581</v>
      </c>
      <c r="E176" t="s">
        <v>590</v>
      </c>
      <c r="F176">
        <v>118259</v>
      </c>
      <c r="G176" t="s">
        <v>596</v>
      </c>
      <c r="J176" t="s">
        <v>611</v>
      </c>
      <c r="K176">
        <f t="shared" si="2"/>
        <v>118259</v>
      </c>
    </row>
    <row r="177" spans="1:11" x14ac:dyDescent="0.45">
      <c r="A177" t="s">
        <v>284</v>
      </c>
      <c r="B177" t="s">
        <v>564</v>
      </c>
      <c r="C177" t="s">
        <v>577</v>
      </c>
      <c r="E177" t="s">
        <v>590</v>
      </c>
      <c r="F177">
        <v>53147</v>
      </c>
      <c r="G177" t="s">
        <v>598</v>
      </c>
      <c r="J177" t="s">
        <v>606</v>
      </c>
      <c r="K177">
        <f t="shared" si="2"/>
        <v>53147</v>
      </c>
    </row>
    <row r="178" spans="1:11" x14ac:dyDescent="0.45">
      <c r="A178" t="s">
        <v>393</v>
      </c>
      <c r="B178" t="s">
        <v>564</v>
      </c>
      <c r="C178" t="s">
        <v>580</v>
      </c>
      <c r="E178" t="s">
        <v>590</v>
      </c>
      <c r="F178">
        <v>17975</v>
      </c>
      <c r="G178" t="s">
        <v>593</v>
      </c>
      <c r="J178" t="s">
        <v>613</v>
      </c>
      <c r="K178">
        <f t="shared" si="2"/>
        <v>17975</v>
      </c>
    </row>
    <row r="179" spans="1:11" x14ac:dyDescent="0.45">
      <c r="A179" t="s">
        <v>39</v>
      </c>
      <c r="B179" t="s">
        <v>564</v>
      </c>
      <c r="C179" t="s">
        <v>581</v>
      </c>
      <c r="E179" t="s">
        <v>590</v>
      </c>
      <c r="F179">
        <v>103627</v>
      </c>
      <c r="G179" t="s">
        <v>594</v>
      </c>
      <c r="J179" t="s">
        <v>608</v>
      </c>
      <c r="K179">
        <f t="shared" si="2"/>
        <v>103627</v>
      </c>
    </row>
    <row r="180" spans="1:11" x14ac:dyDescent="0.45">
      <c r="A180" t="s">
        <v>149</v>
      </c>
      <c r="B180" t="s">
        <v>564</v>
      </c>
      <c r="C180" t="s">
        <v>575</v>
      </c>
      <c r="E180" t="s">
        <v>590</v>
      </c>
      <c r="F180">
        <v>174612</v>
      </c>
      <c r="G180" t="s">
        <v>593</v>
      </c>
      <c r="J180" t="s">
        <v>612</v>
      </c>
      <c r="K180">
        <f t="shared" si="2"/>
        <v>174612</v>
      </c>
    </row>
    <row r="181" spans="1:11" x14ac:dyDescent="0.45">
      <c r="A181" t="s">
        <v>149</v>
      </c>
      <c r="B181" t="s">
        <v>564</v>
      </c>
      <c r="D181" t="s">
        <v>586</v>
      </c>
      <c r="E181" t="s">
        <v>591</v>
      </c>
      <c r="F181">
        <v>19402</v>
      </c>
      <c r="G181" t="s">
        <v>597</v>
      </c>
      <c r="J181" t="s">
        <v>607</v>
      </c>
      <c r="K181">
        <f t="shared" si="2"/>
        <v>-19402</v>
      </c>
    </row>
    <row r="182" spans="1:11" x14ac:dyDescent="0.45">
      <c r="A182" t="s">
        <v>149</v>
      </c>
      <c r="B182" t="s">
        <v>564</v>
      </c>
      <c r="E182" t="s">
        <v>592</v>
      </c>
      <c r="F182">
        <v>33631</v>
      </c>
      <c r="G182" t="s">
        <v>595</v>
      </c>
      <c r="H182" t="s">
        <v>603</v>
      </c>
      <c r="I182">
        <v>1.55</v>
      </c>
      <c r="J182" t="s">
        <v>605</v>
      </c>
      <c r="K182">
        <f t="shared" si="2"/>
        <v>-33631</v>
      </c>
    </row>
    <row r="183" spans="1:11" x14ac:dyDescent="0.45">
      <c r="A183" t="s">
        <v>179</v>
      </c>
      <c r="B183" t="s">
        <v>564</v>
      </c>
      <c r="D183" t="s">
        <v>584</v>
      </c>
      <c r="E183" t="s">
        <v>591</v>
      </c>
      <c r="F183">
        <v>4988</v>
      </c>
      <c r="G183" t="s">
        <v>595</v>
      </c>
      <c r="J183" t="s">
        <v>611</v>
      </c>
      <c r="K183">
        <f t="shared" si="2"/>
        <v>-4988</v>
      </c>
    </row>
    <row r="184" spans="1:11" x14ac:dyDescent="0.45">
      <c r="A184" t="s">
        <v>252</v>
      </c>
      <c r="B184" t="s">
        <v>564</v>
      </c>
      <c r="D184" t="s">
        <v>583</v>
      </c>
      <c r="E184" t="s">
        <v>591</v>
      </c>
      <c r="F184">
        <v>13407</v>
      </c>
      <c r="G184" t="s">
        <v>598</v>
      </c>
      <c r="J184" t="s">
        <v>613</v>
      </c>
      <c r="K184">
        <f t="shared" si="2"/>
        <v>-13407</v>
      </c>
    </row>
    <row r="185" spans="1:11" x14ac:dyDescent="0.45">
      <c r="A185" t="s">
        <v>252</v>
      </c>
      <c r="B185" t="s">
        <v>564</v>
      </c>
      <c r="D185" t="s">
        <v>584</v>
      </c>
      <c r="E185" t="s">
        <v>591</v>
      </c>
      <c r="F185">
        <v>1548</v>
      </c>
      <c r="G185" t="s">
        <v>593</v>
      </c>
      <c r="J185" t="s">
        <v>611</v>
      </c>
      <c r="K185">
        <f t="shared" si="2"/>
        <v>-1548</v>
      </c>
    </row>
    <row r="186" spans="1:11" x14ac:dyDescent="0.45">
      <c r="A186" t="s">
        <v>36</v>
      </c>
      <c r="B186" t="s">
        <v>564</v>
      </c>
      <c r="C186" t="s">
        <v>579</v>
      </c>
      <c r="E186" t="s">
        <v>590</v>
      </c>
      <c r="F186">
        <v>159127</v>
      </c>
      <c r="G186" t="s">
        <v>593</v>
      </c>
      <c r="J186" t="s">
        <v>609</v>
      </c>
      <c r="K186">
        <f t="shared" si="2"/>
        <v>159127</v>
      </c>
    </row>
    <row r="187" spans="1:11" x14ac:dyDescent="0.45">
      <c r="A187" t="s">
        <v>504</v>
      </c>
      <c r="B187" t="s">
        <v>564</v>
      </c>
      <c r="D187" t="s">
        <v>585</v>
      </c>
      <c r="E187" t="s">
        <v>591</v>
      </c>
      <c r="F187">
        <v>2507</v>
      </c>
      <c r="G187" t="s">
        <v>598</v>
      </c>
      <c r="J187" t="s">
        <v>607</v>
      </c>
      <c r="K187">
        <f t="shared" si="2"/>
        <v>-2507</v>
      </c>
    </row>
    <row r="188" spans="1:11" x14ac:dyDescent="0.45">
      <c r="A188" t="s">
        <v>455</v>
      </c>
      <c r="B188" t="s">
        <v>564</v>
      </c>
      <c r="D188" t="s">
        <v>585</v>
      </c>
      <c r="E188" t="s">
        <v>591</v>
      </c>
      <c r="F188">
        <v>11436</v>
      </c>
      <c r="G188" t="s">
        <v>596</v>
      </c>
      <c r="J188" t="s">
        <v>610</v>
      </c>
      <c r="K188">
        <f t="shared" si="2"/>
        <v>-11436</v>
      </c>
    </row>
    <row r="189" spans="1:11" x14ac:dyDescent="0.45">
      <c r="A189" t="s">
        <v>231</v>
      </c>
      <c r="B189" t="s">
        <v>564</v>
      </c>
      <c r="D189" t="s">
        <v>582</v>
      </c>
      <c r="E189" t="s">
        <v>591</v>
      </c>
      <c r="F189">
        <v>28288</v>
      </c>
      <c r="G189" t="s">
        <v>597</v>
      </c>
      <c r="J189" t="s">
        <v>614</v>
      </c>
      <c r="K189">
        <f t="shared" si="2"/>
        <v>-28288</v>
      </c>
    </row>
    <row r="190" spans="1:11" x14ac:dyDescent="0.45">
      <c r="A190" t="s">
        <v>313</v>
      </c>
      <c r="B190" t="s">
        <v>564</v>
      </c>
      <c r="D190" t="s">
        <v>589</v>
      </c>
      <c r="E190" t="s">
        <v>591</v>
      </c>
      <c r="F190">
        <v>37956</v>
      </c>
      <c r="G190" t="s">
        <v>594</v>
      </c>
      <c r="J190" t="s">
        <v>607</v>
      </c>
      <c r="K190">
        <f t="shared" si="2"/>
        <v>-37956</v>
      </c>
    </row>
    <row r="191" spans="1:11" x14ac:dyDescent="0.45">
      <c r="A191" t="s">
        <v>324</v>
      </c>
      <c r="B191" t="s">
        <v>564</v>
      </c>
      <c r="D191" t="s">
        <v>584</v>
      </c>
      <c r="E191" t="s">
        <v>591</v>
      </c>
      <c r="F191">
        <v>1865</v>
      </c>
      <c r="G191" t="s">
        <v>596</v>
      </c>
      <c r="J191" t="s">
        <v>610</v>
      </c>
      <c r="K191">
        <f t="shared" si="2"/>
        <v>-1865</v>
      </c>
    </row>
    <row r="192" spans="1:11" x14ac:dyDescent="0.45">
      <c r="A192" t="s">
        <v>324</v>
      </c>
      <c r="B192" t="s">
        <v>564</v>
      </c>
      <c r="D192" t="s">
        <v>588</v>
      </c>
      <c r="E192" t="s">
        <v>591</v>
      </c>
      <c r="F192">
        <v>8363</v>
      </c>
      <c r="G192" t="s">
        <v>595</v>
      </c>
      <c r="J192" t="s">
        <v>613</v>
      </c>
      <c r="K192">
        <f t="shared" si="2"/>
        <v>-8363</v>
      </c>
    </row>
    <row r="193" spans="1:11" x14ac:dyDescent="0.45">
      <c r="A193" t="s">
        <v>375</v>
      </c>
      <c r="B193" t="s">
        <v>564</v>
      </c>
      <c r="E193" t="s">
        <v>592</v>
      </c>
      <c r="F193">
        <v>12770</v>
      </c>
      <c r="G193" t="s">
        <v>598</v>
      </c>
      <c r="H193" t="s">
        <v>602</v>
      </c>
      <c r="I193">
        <v>27.68</v>
      </c>
      <c r="J193" t="s">
        <v>612</v>
      </c>
      <c r="K193">
        <f t="shared" si="2"/>
        <v>-12770</v>
      </c>
    </row>
    <row r="194" spans="1:11" x14ac:dyDescent="0.45">
      <c r="A194" t="s">
        <v>375</v>
      </c>
      <c r="B194" t="s">
        <v>564</v>
      </c>
      <c r="D194" t="s">
        <v>588</v>
      </c>
      <c r="E194" t="s">
        <v>591</v>
      </c>
      <c r="F194">
        <v>7887</v>
      </c>
      <c r="G194" t="s">
        <v>594</v>
      </c>
      <c r="J194" t="s">
        <v>612</v>
      </c>
      <c r="K194">
        <f t="shared" ref="K194:K257" si="3">IF(E194= "Income", F194, -F194)</f>
        <v>-7887</v>
      </c>
    </row>
    <row r="195" spans="1:11" x14ac:dyDescent="0.45">
      <c r="A195" t="s">
        <v>153</v>
      </c>
      <c r="B195" t="s">
        <v>564</v>
      </c>
      <c r="E195" t="s">
        <v>592</v>
      </c>
      <c r="F195">
        <v>14596</v>
      </c>
      <c r="G195" t="s">
        <v>597</v>
      </c>
      <c r="H195" t="s">
        <v>601</v>
      </c>
      <c r="I195">
        <v>-0.39</v>
      </c>
      <c r="J195" t="s">
        <v>609</v>
      </c>
      <c r="K195">
        <f t="shared" si="3"/>
        <v>-14596</v>
      </c>
    </row>
    <row r="196" spans="1:11" x14ac:dyDescent="0.45">
      <c r="A196" t="s">
        <v>515</v>
      </c>
      <c r="B196" t="s">
        <v>564</v>
      </c>
      <c r="E196" t="s">
        <v>592</v>
      </c>
      <c r="F196">
        <v>16608</v>
      </c>
      <c r="G196" t="s">
        <v>595</v>
      </c>
      <c r="H196" t="s">
        <v>603</v>
      </c>
      <c r="I196">
        <v>17.16</v>
      </c>
      <c r="J196" t="s">
        <v>612</v>
      </c>
      <c r="K196">
        <f t="shared" si="3"/>
        <v>-16608</v>
      </c>
    </row>
    <row r="197" spans="1:11" x14ac:dyDescent="0.45">
      <c r="A197" t="s">
        <v>11</v>
      </c>
      <c r="B197" t="s">
        <v>564</v>
      </c>
      <c r="D197" t="s">
        <v>582</v>
      </c>
      <c r="E197" t="s">
        <v>591</v>
      </c>
      <c r="F197">
        <v>35651</v>
      </c>
      <c r="G197" t="s">
        <v>594</v>
      </c>
      <c r="J197" t="s">
        <v>606</v>
      </c>
      <c r="K197">
        <f t="shared" si="3"/>
        <v>-35651</v>
      </c>
    </row>
    <row r="198" spans="1:11" x14ac:dyDescent="0.45">
      <c r="A198" t="s">
        <v>11</v>
      </c>
      <c r="B198" t="s">
        <v>564</v>
      </c>
      <c r="D198" t="s">
        <v>586</v>
      </c>
      <c r="E198" t="s">
        <v>591</v>
      </c>
      <c r="F198">
        <v>8779</v>
      </c>
      <c r="G198" t="s">
        <v>598</v>
      </c>
      <c r="J198" t="s">
        <v>612</v>
      </c>
      <c r="K198">
        <f t="shared" si="3"/>
        <v>-8779</v>
      </c>
    </row>
    <row r="199" spans="1:11" x14ac:dyDescent="0.45">
      <c r="A199" t="s">
        <v>412</v>
      </c>
      <c r="B199" t="s">
        <v>564</v>
      </c>
      <c r="C199" t="s">
        <v>581</v>
      </c>
      <c r="E199" t="s">
        <v>590</v>
      </c>
      <c r="F199">
        <v>73271</v>
      </c>
      <c r="G199" t="s">
        <v>593</v>
      </c>
      <c r="J199" t="s">
        <v>605</v>
      </c>
      <c r="K199">
        <f t="shared" si="3"/>
        <v>73271</v>
      </c>
    </row>
    <row r="200" spans="1:11" x14ac:dyDescent="0.45">
      <c r="A200" t="s">
        <v>495</v>
      </c>
      <c r="B200" t="s">
        <v>564</v>
      </c>
      <c r="C200" t="s">
        <v>581</v>
      </c>
      <c r="E200" t="s">
        <v>590</v>
      </c>
      <c r="F200">
        <v>165134</v>
      </c>
      <c r="G200" t="s">
        <v>597</v>
      </c>
      <c r="J200" t="s">
        <v>614</v>
      </c>
      <c r="K200">
        <f t="shared" si="3"/>
        <v>165134</v>
      </c>
    </row>
    <row r="201" spans="1:11" x14ac:dyDescent="0.45">
      <c r="A201" t="s">
        <v>403</v>
      </c>
      <c r="B201" t="s">
        <v>564</v>
      </c>
      <c r="D201" t="s">
        <v>582</v>
      </c>
      <c r="E201" t="s">
        <v>591</v>
      </c>
      <c r="F201">
        <v>10877</v>
      </c>
      <c r="G201" t="s">
        <v>593</v>
      </c>
      <c r="J201" t="s">
        <v>607</v>
      </c>
      <c r="K201">
        <f t="shared" si="3"/>
        <v>-10877</v>
      </c>
    </row>
    <row r="202" spans="1:11" x14ac:dyDescent="0.45">
      <c r="A202" t="s">
        <v>25</v>
      </c>
      <c r="B202" t="s">
        <v>564</v>
      </c>
      <c r="C202" t="s">
        <v>580</v>
      </c>
      <c r="E202" t="s">
        <v>590</v>
      </c>
      <c r="F202">
        <v>162159</v>
      </c>
      <c r="G202" t="s">
        <v>597</v>
      </c>
      <c r="J202" t="s">
        <v>609</v>
      </c>
      <c r="K202">
        <f t="shared" si="3"/>
        <v>162159</v>
      </c>
    </row>
    <row r="203" spans="1:11" x14ac:dyDescent="0.45">
      <c r="A203" t="s">
        <v>442</v>
      </c>
      <c r="B203" t="s">
        <v>564</v>
      </c>
      <c r="D203" t="s">
        <v>583</v>
      </c>
      <c r="E203" t="s">
        <v>591</v>
      </c>
      <c r="F203">
        <v>1570</v>
      </c>
      <c r="G203" t="s">
        <v>595</v>
      </c>
      <c r="J203" t="s">
        <v>611</v>
      </c>
      <c r="K203">
        <f t="shared" si="3"/>
        <v>-1570</v>
      </c>
    </row>
    <row r="204" spans="1:11" x14ac:dyDescent="0.45">
      <c r="A204" t="s">
        <v>240</v>
      </c>
      <c r="B204" t="s">
        <v>564</v>
      </c>
      <c r="C204" t="s">
        <v>578</v>
      </c>
      <c r="E204" t="s">
        <v>590</v>
      </c>
      <c r="F204">
        <v>138851</v>
      </c>
      <c r="G204" t="s">
        <v>598</v>
      </c>
      <c r="J204" t="s">
        <v>612</v>
      </c>
      <c r="K204">
        <f t="shared" si="3"/>
        <v>138851</v>
      </c>
    </row>
    <row r="205" spans="1:11" x14ac:dyDescent="0.45">
      <c r="A205" t="s">
        <v>240</v>
      </c>
      <c r="B205" t="s">
        <v>564</v>
      </c>
      <c r="E205" t="s">
        <v>592</v>
      </c>
      <c r="F205">
        <v>39684</v>
      </c>
      <c r="G205" t="s">
        <v>597</v>
      </c>
      <c r="H205" t="s">
        <v>603</v>
      </c>
      <c r="I205">
        <v>-6.23</v>
      </c>
      <c r="J205" t="s">
        <v>606</v>
      </c>
      <c r="K205">
        <f t="shared" si="3"/>
        <v>-39684</v>
      </c>
    </row>
    <row r="206" spans="1:11" x14ac:dyDescent="0.45">
      <c r="A206" t="s">
        <v>441</v>
      </c>
      <c r="B206" t="s">
        <v>564</v>
      </c>
      <c r="D206" t="s">
        <v>582</v>
      </c>
      <c r="E206" t="s">
        <v>591</v>
      </c>
      <c r="F206">
        <v>14922</v>
      </c>
      <c r="G206" t="s">
        <v>597</v>
      </c>
      <c r="J206" t="s">
        <v>610</v>
      </c>
      <c r="K206">
        <f t="shared" si="3"/>
        <v>-14922</v>
      </c>
    </row>
    <row r="207" spans="1:11" x14ac:dyDescent="0.45">
      <c r="A207" t="s">
        <v>155</v>
      </c>
      <c r="B207" t="s">
        <v>567</v>
      </c>
      <c r="D207" t="s">
        <v>589</v>
      </c>
      <c r="E207" t="s">
        <v>591</v>
      </c>
      <c r="F207">
        <v>23618</v>
      </c>
      <c r="G207" t="s">
        <v>596</v>
      </c>
      <c r="J207" t="s">
        <v>607</v>
      </c>
      <c r="K207">
        <f t="shared" si="3"/>
        <v>-23618</v>
      </c>
    </row>
    <row r="208" spans="1:11" x14ac:dyDescent="0.45">
      <c r="A208" t="s">
        <v>155</v>
      </c>
      <c r="B208" t="s">
        <v>567</v>
      </c>
      <c r="C208" t="s">
        <v>576</v>
      </c>
      <c r="E208" t="s">
        <v>590</v>
      </c>
      <c r="F208">
        <v>176736</v>
      </c>
      <c r="G208" t="s">
        <v>593</v>
      </c>
      <c r="J208" t="s">
        <v>609</v>
      </c>
      <c r="K208">
        <f t="shared" si="3"/>
        <v>176736</v>
      </c>
    </row>
    <row r="209" spans="1:11" x14ac:dyDescent="0.45">
      <c r="A209" t="s">
        <v>230</v>
      </c>
      <c r="B209" t="s">
        <v>567</v>
      </c>
      <c r="D209" t="s">
        <v>585</v>
      </c>
      <c r="E209" t="s">
        <v>591</v>
      </c>
      <c r="F209">
        <v>6031</v>
      </c>
      <c r="G209" t="s">
        <v>596</v>
      </c>
      <c r="J209" t="s">
        <v>614</v>
      </c>
      <c r="K209">
        <f t="shared" si="3"/>
        <v>-6031</v>
      </c>
    </row>
    <row r="210" spans="1:11" x14ac:dyDescent="0.45">
      <c r="A210" t="s">
        <v>230</v>
      </c>
      <c r="B210" t="s">
        <v>567</v>
      </c>
      <c r="C210" t="s">
        <v>577</v>
      </c>
      <c r="E210" t="s">
        <v>590</v>
      </c>
      <c r="F210">
        <v>24270</v>
      </c>
      <c r="G210" t="s">
        <v>597</v>
      </c>
      <c r="J210" t="s">
        <v>614</v>
      </c>
      <c r="K210">
        <f t="shared" si="3"/>
        <v>24270</v>
      </c>
    </row>
    <row r="211" spans="1:11" x14ac:dyDescent="0.45">
      <c r="A211" t="s">
        <v>230</v>
      </c>
      <c r="B211" t="s">
        <v>567</v>
      </c>
      <c r="D211" t="s">
        <v>585</v>
      </c>
      <c r="E211" t="s">
        <v>591</v>
      </c>
      <c r="F211">
        <v>8096</v>
      </c>
      <c r="G211" t="s">
        <v>597</v>
      </c>
      <c r="J211" t="s">
        <v>608</v>
      </c>
      <c r="K211">
        <f t="shared" si="3"/>
        <v>-8096</v>
      </c>
    </row>
    <row r="212" spans="1:11" x14ac:dyDescent="0.45">
      <c r="A212" t="s">
        <v>96</v>
      </c>
      <c r="B212" t="s">
        <v>567</v>
      </c>
      <c r="C212" t="s">
        <v>575</v>
      </c>
      <c r="E212" t="s">
        <v>590</v>
      </c>
      <c r="F212">
        <v>55056</v>
      </c>
      <c r="G212" t="s">
        <v>598</v>
      </c>
      <c r="J212" t="s">
        <v>605</v>
      </c>
      <c r="K212">
        <f t="shared" si="3"/>
        <v>55056</v>
      </c>
    </row>
    <row r="213" spans="1:11" x14ac:dyDescent="0.45">
      <c r="A213" t="s">
        <v>557</v>
      </c>
      <c r="B213" t="s">
        <v>567</v>
      </c>
      <c r="D213" t="s">
        <v>582</v>
      </c>
      <c r="E213" t="s">
        <v>591</v>
      </c>
      <c r="F213">
        <v>16620</v>
      </c>
      <c r="G213" t="s">
        <v>593</v>
      </c>
      <c r="J213" t="s">
        <v>606</v>
      </c>
      <c r="K213">
        <f t="shared" si="3"/>
        <v>-16620</v>
      </c>
    </row>
    <row r="214" spans="1:11" x14ac:dyDescent="0.45">
      <c r="A214" t="s">
        <v>221</v>
      </c>
      <c r="B214" t="s">
        <v>567</v>
      </c>
      <c r="D214" t="s">
        <v>582</v>
      </c>
      <c r="E214" t="s">
        <v>591</v>
      </c>
      <c r="F214">
        <v>19609</v>
      </c>
      <c r="G214" t="s">
        <v>598</v>
      </c>
      <c r="J214" t="s">
        <v>613</v>
      </c>
      <c r="K214">
        <f t="shared" si="3"/>
        <v>-19609</v>
      </c>
    </row>
    <row r="215" spans="1:11" x14ac:dyDescent="0.45">
      <c r="A215" t="s">
        <v>260</v>
      </c>
      <c r="B215" t="s">
        <v>567</v>
      </c>
      <c r="D215" t="s">
        <v>588</v>
      </c>
      <c r="E215" t="s">
        <v>591</v>
      </c>
      <c r="F215">
        <v>6595</v>
      </c>
      <c r="G215" t="s">
        <v>595</v>
      </c>
      <c r="J215" t="s">
        <v>610</v>
      </c>
      <c r="K215">
        <f t="shared" si="3"/>
        <v>-6595</v>
      </c>
    </row>
    <row r="216" spans="1:11" x14ac:dyDescent="0.45">
      <c r="A216" t="s">
        <v>260</v>
      </c>
      <c r="B216" t="s">
        <v>567</v>
      </c>
      <c r="C216" t="s">
        <v>581</v>
      </c>
      <c r="E216" t="s">
        <v>590</v>
      </c>
      <c r="F216">
        <v>127094</v>
      </c>
      <c r="G216" t="s">
        <v>594</v>
      </c>
      <c r="J216" t="s">
        <v>609</v>
      </c>
      <c r="K216">
        <f t="shared" si="3"/>
        <v>127094</v>
      </c>
    </row>
    <row r="217" spans="1:11" x14ac:dyDescent="0.45">
      <c r="A217" t="s">
        <v>260</v>
      </c>
      <c r="B217" t="s">
        <v>567</v>
      </c>
      <c r="D217" t="s">
        <v>588</v>
      </c>
      <c r="E217" t="s">
        <v>591</v>
      </c>
      <c r="F217">
        <v>7214</v>
      </c>
      <c r="G217" t="s">
        <v>598</v>
      </c>
      <c r="J217" t="s">
        <v>611</v>
      </c>
      <c r="K217">
        <f t="shared" si="3"/>
        <v>-7214</v>
      </c>
    </row>
    <row r="218" spans="1:11" x14ac:dyDescent="0.45">
      <c r="A218" t="s">
        <v>15</v>
      </c>
      <c r="B218" t="s">
        <v>567</v>
      </c>
      <c r="C218" t="s">
        <v>577</v>
      </c>
      <c r="E218" t="s">
        <v>590</v>
      </c>
      <c r="F218">
        <v>103236</v>
      </c>
      <c r="G218" t="s">
        <v>594</v>
      </c>
      <c r="J218" t="s">
        <v>610</v>
      </c>
      <c r="K218">
        <f t="shared" si="3"/>
        <v>103236</v>
      </c>
    </row>
    <row r="219" spans="1:11" x14ac:dyDescent="0.45">
      <c r="A219" t="s">
        <v>15</v>
      </c>
      <c r="B219" t="s">
        <v>567</v>
      </c>
      <c r="D219" t="s">
        <v>582</v>
      </c>
      <c r="E219" t="s">
        <v>591</v>
      </c>
      <c r="F219">
        <v>13143</v>
      </c>
      <c r="G219" t="s">
        <v>598</v>
      </c>
      <c r="J219" t="s">
        <v>613</v>
      </c>
      <c r="K219">
        <f t="shared" si="3"/>
        <v>-13143</v>
      </c>
    </row>
    <row r="220" spans="1:11" x14ac:dyDescent="0.45">
      <c r="A220" t="s">
        <v>15</v>
      </c>
      <c r="B220" t="s">
        <v>567</v>
      </c>
      <c r="C220" t="s">
        <v>579</v>
      </c>
      <c r="E220" t="s">
        <v>590</v>
      </c>
      <c r="F220">
        <v>96099</v>
      </c>
      <c r="G220" t="s">
        <v>593</v>
      </c>
      <c r="J220" t="s">
        <v>605</v>
      </c>
      <c r="K220">
        <f t="shared" si="3"/>
        <v>96099</v>
      </c>
    </row>
    <row r="221" spans="1:11" x14ac:dyDescent="0.45">
      <c r="A221" t="s">
        <v>433</v>
      </c>
      <c r="B221" t="s">
        <v>567</v>
      </c>
      <c r="C221" t="s">
        <v>578</v>
      </c>
      <c r="E221" t="s">
        <v>590</v>
      </c>
      <c r="F221">
        <v>68883</v>
      </c>
      <c r="G221" t="s">
        <v>593</v>
      </c>
      <c r="J221" t="s">
        <v>614</v>
      </c>
      <c r="K221">
        <f t="shared" si="3"/>
        <v>68883</v>
      </c>
    </row>
    <row r="222" spans="1:11" x14ac:dyDescent="0.45">
      <c r="A222" t="s">
        <v>31</v>
      </c>
      <c r="B222" t="s">
        <v>567</v>
      </c>
      <c r="D222" t="s">
        <v>584</v>
      </c>
      <c r="E222" t="s">
        <v>591</v>
      </c>
      <c r="F222">
        <v>4300</v>
      </c>
      <c r="G222" t="s">
        <v>593</v>
      </c>
      <c r="J222" t="s">
        <v>607</v>
      </c>
      <c r="K222">
        <f t="shared" si="3"/>
        <v>-4300</v>
      </c>
    </row>
    <row r="223" spans="1:11" x14ac:dyDescent="0.45">
      <c r="A223" t="s">
        <v>31</v>
      </c>
      <c r="B223" t="s">
        <v>567</v>
      </c>
      <c r="D223" t="s">
        <v>587</v>
      </c>
      <c r="E223" t="s">
        <v>591</v>
      </c>
      <c r="F223">
        <v>1902</v>
      </c>
      <c r="G223" t="s">
        <v>593</v>
      </c>
      <c r="J223" t="s">
        <v>612</v>
      </c>
      <c r="K223">
        <f t="shared" si="3"/>
        <v>-1902</v>
      </c>
    </row>
    <row r="224" spans="1:11" x14ac:dyDescent="0.45">
      <c r="A224" t="s">
        <v>31</v>
      </c>
      <c r="B224" t="s">
        <v>567</v>
      </c>
      <c r="D224" t="s">
        <v>582</v>
      </c>
      <c r="E224" t="s">
        <v>591</v>
      </c>
      <c r="F224">
        <v>23095</v>
      </c>
      <c r="G224" t="s">
        <v>595</v>
      </c>
      <c r="J224" t="s">
        <v>611</v>
      </c>
      <c r="K224">
        <f t="shared" si="3"/>
        <v>-23095</v>
      </c>
    </row>
    <row r="225" spans="1:11" x14ac:dyDescent="0.45">
      <c r="A225" t="s">
        <v>309</v>
      </c>
      <c r="B225" t="s">
        <v>567</v>
      </c>
      <c r="D225" t="s">
        <v>584</v>
      </c>
      <c r="E225" t="s">
        <v>591</v>
      </c>
      <c r="F225">
        <v>5854</v>
      </c>
      <c r="G225" t="s">
        <v>594</v>
      </c>
      <c r="J225" t="s">
        <v>609</v>
      </c>
      <c r="K225">
        <f t="shared" si="3"/>
        <v>-5854</v>
      </c>
    </row>
    <row r="226" spans="1:11" x14ac:dyDescent="0.45">
      <c r="A226" t="s">
        <v>309</v>
      </c>
      <c r="B226" t="s">
        <v>567</v>
      </c>
      <c r="D226" t="s">
        <v>583</v>
      </c>
      <c r="E226" t="s">
        <v>591</v>
      </c>
      <c r="F226">
        <v>3312</v>
      </c>
      <c r="G226" t="s">
        <v>596</v>
      </c>
      <c r="J226" t="s">
        <v>605</v>
      </c>
      <c r="K226">
        <f t="shared" si="3"/>
        <v>-3312</v>
      </c>
    </row>
    <row r="227" spans="1:11" x14ac:dyDescent="0.45">
      <c r="A227" t="s">
        <v>237</v>
      </c>
      <c r="B227" t="s">
        <v>567</v>
      </c>
      <c r="E227" t="s">
        <v>592</v>
      </c>
      <c r="F227">
        <v>46280</v>
      </c>
      <c r="G227" t="s">
        <v>594</v>
      </c>
      <c r="H227" t="s">
        <v>600</v>
      </c>
      <c r="I227">
        <v>22.54</v>
      </c>
      <c r="J227" t="s">
        <v>613</v>
      </c>
      <c r="K227">
        <f t="shared" si="3"/>
        <v>-46280</v>
      </c>
    </row>
    <row r="228" spans="1:11" x14ac:dyDescent="0.45">
      <c r="A228" t="s">
        <v>237</v>
      </c>
      <c r="B228" t="s">
        <v>567</v>
      </c>
      <c r="D228" t="s">
        <v>583</v>
      </c>
      <c r="E228" t="s">
        <v>591</v>
      </c>
      <c r="F228">
        <v>1035</v>
      </c>
      <c r="G228" t="s">
        <v>593</v>
      </c>
      <c r="J228" t="s">
        <v>606</v>
      </c>
      <c r="K228">
        <f t="shared" si="3"/>
        <v>-1035</v>
      </c>
    </row>
    <row r="229" spans="1:11" x14ac:dyDescent="0.45">
      <c r="A229" t="s">
        <v>101</v>
      </c>
      <c r="B229" t="s">
        <v>567</v>
      </c>
      <c r="E229" t="s">
        <v>592</v>
      </c>
      <c r="F229">
        <v>143017</v>
      </c>
      <c r="G229" t="s">
        <v>595</v>
      </c>
      <c r="H229" t="s">
        <v>604</v>
      </c>
      <c r="I229">
        <v>-13.84</v>
      </c>
      <c r="J229" t="s">
        <v>608</v>
      </c>
      <c r="K229">
        <f t="shared" si="3"/>
        <v>-143017</v>
      </c>
    </row>
    <row r="230" spans="1:11" x14ac:dyDescent="0.45">
      <c r="A230" t="s">
        <v>101</v>
      </c>
      <c r="B230" t="s">
        <v>567</v>
      </c>
      <c r="D230" t="s">
        <v>587</v>
      </c>
      <c r="E230" t="s">
        <v>591</v>
      </c>
      <c r="F230">
        <v>1832</v>
      </c>
      <c r="G230" t="s">
        <v>596</v>
      </c>
      <c r="J230" t="s">
        <v>605</v>
      </c>
      <c r="K230">
        <f t="shared" si="3"/>
        <v>-1832</v>
      </c>
    </row>
    <row r="231" spans="1:11" x14ac:dyDescent="0.45">
      <c r="A231" t="s">
        <v>101</v>
      </c>
      <c r="B231" t="s">
        <v>567</v>
      </c>
      <c r="C231" t="s">
        <v>579</v>
      </c>
      <c r="E231" t="s">
        <v>590</v>
      </c>
      <c r="F231">
        <v>99052</v>
      </c>
      <c r="G231" t="s">
        <v>593</v>
      </c>
      <c r="J231" t="s">
        <v>611</v>
      </c>
      <c r="K231">
        <f t="shared" si="3"/>
        <v>99052</v>
      </c>
    </row>
    <row r="232" spans="1:11" x14ac:dyDescent="0.45">
      <c r="A232" t="s">
        <v>397</v>
      </c>
      <c r="B232" t="s">
        <v>567</v>
      </c>
      <c r="D232" t="s">
        <v>584</v>
      </c>
      <c r="E232" t="s">
        <v>591</v>
      </c>
      <c r="F232">
        <v>6535</v>
      </c>
      <c r="G232" t="s">
        <v>594</v>
      </c>
      <c r="J232" t="s">
        <v>608</v>
      </c>
      <c r="K232">
        <f t="shared" si="3"/>
        <v>-6535</v>
      </c>
    </row>
    <row r="233" spans="1:11" x14ac:dyDescent="0.45">
      <c r="A233" t="s">
        <v>440</v>
      </c>
      <c r="B233" t="s">
        <v>567</v>
      </c>
      <c r="E233" t="s">
        <v>592</v>
      </c>
      <c r="F233">
        <v>36078</v>
      </c>
      <c r="G233" t="s">
        <v>594</v>
      </c>
      <c r="H233" t="s">
        <v>604</v>
      </c>
      <c r="I233">
        <v>-13.16</v>
      </c>
      <c r="J233" t="s">
        <v>614</v>
      </c>
      <c r="K233">
        <f t="shared" si="3"/>
        <v>-36078</v>
      </c>
    </row>
    <row r="234" spans="1:11" x14ac:dyDescent="0.45">
      <c r="A234" t="s">
        <v>440</v>
      </c>
      <c r="B234" t="s">
        <v>567</v>
      </c>
      <c r="C234" t="s">
        <v>581</v>
      </c>
      <c r="E234" t="s">
        <v>590</v>
      </c>
      <c r="F234">
        <v>47778</v>
      </c>
      <c r="G234" t="s">
        <v>598</v>
      </c>
      <c r="J234" t="s">
        <v>605</v>
      </c>
      <c r="K234">
        <f t="shared" si="3"/>
        <v>47778</v>
      </c>
    </row>
    <row r="235" spans="1:11" x14ac:dyDescent="0.45">
      <c r="A235" t="s">
        <v>274</v>
      </c>
      <c r="B235" t="s">
        <v>567</v>
      </c>
      <c r="D235" t="s">
        <v>588</v>
      </c>
      <c r="E235" t="s">
        <v>591</v>
      </c>
      <c r="F235">
        <v>9734</v>
      </c>
      <c r="G235" t="s">
        <v>594</v>
      </c>
      <c r="J235" t="s">
        <v>606</v>
      </c>
      <c r="K235">
        <f t="shared" si="3"/>
        <v>-9734</v>
      </c>
    </row>
    <row r="236" spans="1:11" x14ac:dyDescent="0.45">
      <c r="A236" t="s">
        <v>416</v>
      </c>
      <c r="B236" t="s">
        <v>567</v>
      </c>
      <c r="D236" t="s">
        <v>585</v>
      </c>
      <c r="E236" t="s">
        <v>591</v>
      </c>
      <c r="F236">
        <v>4805</v>
      </c>
      <c r="G236" t="s">
        <v>596</v>
      </c>
      <c r="J236" t="s">
        <v>613</v>
      </c>
      <c r="K236">
        <f t="shared" si="3"/>
        <v>-4805</v>
      </c>
    </row>
    <row r="237" spans="1:11" x14ac:dyDescent="0.45">
      <c r="A237" t="s">
        <v>293</v>
      </c>
      <c r="B237" t="s">
        <v>567</v>
      </c>
      <c r="D237" t="s">
        <v>588</v>
      </c>
      <c r="E237" t="s">
        <v>591</v>
      </c>
      <c r="F237">
        <v>9450</v>
      </c>
      <c r="G237" t="s">
        <v>596</v>
      </c>
      <c r="J237" t="s">
        <v>609</v>
      </c>
      <c r="K237">
        <f t="shared" si="3"/>
        <v>-9450</v>
      </c>
    </row>
    <row r="238" spans="1:11" x14ac:dyDescent="0.45">
      <c r="A238" t="s">
        <v>293</v>
      </c>
      <c r="B238" t="s">
        <v>567</v>
      </c>
      <c r="C238" t="s">
        <v>577</v>
      </c>
      <c r="E238" t="s">
        <v>590</v>
      </c>
      <c r="F238">
        <v>67619</v>
      </c>
      <c r="G238" t="s">
        <v>594</v>
      </c>
      <c r="J238" t="s">
        <v>605</v>
      </c>
      <c r="K238">
        <f t="shared" si="3"/>
        <v>67619</v>
      </c>
    </row>
    <row r="239" spans="1:11" x14ac:dyDescent="0.45">
      <c r="A239" t="s">
        <v>189</v>
      </c>
      <c r="B239" t="s">
        <v>567</v>
      </c>
      <c r="C239" t="s">
        <v>580</v>
      </c>
      <c r="E239" t="s">
        <v>590</v>
      </c>
      <c r="F239">
        <v>125352</v>
      </c>
      <c r="G239" t="s">
        <v>597</v>
      </c>
      <c r="J239" t="s">
        <v>610</v>
      </c>
      <c r="K239">
        <f t="shared" si="3"/>
        <v>125352</v>
      </c>
    </row>
    <row r="240" spans="1:11" x14ac:dyDescent="0.45">
      <c r="A240" t="s">
        <v>189</v>
      </c>
      <c r="B240" t="s">
        <v>567</v>
      </c>
      <c r="E240" t="s">
        <v>592</v>
      </c>
      <c r="F240">
        <v>12636</v>
      </c>
      <c r="G240" t="s">
        <v>597</v>
      </c>
      <c r="H240" t="s">
        <v>601</v>
      </c>
      <c r="I240">
        <v>-1.02</v>
      </c>
      <c r="J240" t="s">
        <v>613</v>
      </c>
      <c r="K240">
        <f t="shared" si="3"/>
        <v>-12636</v>
      </c>
    </row>
    <row r="241" spans="1:11" x14ac:dyDescent="0.45">
      <c r="A241" t="s">
        <v>213</v>
      </c>
      <c r="B241" t="s">
        <v>567</v>
      </c>
      <c r="C241" t="s">
        <v>576</v>
      </c>
      <c r="E241" t="s">
        <v>590</v>
      </c>
      <c r="F241">
        <v>75322</v>
      </c>
      <c r="G241" t="s">
        <v>597</v>
      </c>
      <c r="J241" t="s">
        <v>607</v>
      </c>
      <c r="K241">
        <f t="shared" si="3"/>
        <v>75322</v>
      </c>
    </row>
    <row r="242" spans="1:11" x14ac:dyDescent="0.45">
      <c r="A242" t="s">
        <v>213</v>
      </c>
      <c r="B242" t="s">
        <v>567</v>
      </c>
      <c r="D242" t="s">
        <v>585</v>
      </c>
      <c r="E242" t="s">
        <v>591</v>
      </c>
      <c r="F242">
        <v>895</v>
      </c>
      <c r="G242" t="s">
        <v>595</v>
      </c>
      <c r="J242" t="s">
        <v>613</v>
      </c>
      <c r="K242">
        <f t="shared" si="3"/>
        <v>-895</v>
      </c>
    </row>
    <row r="243" spans="1:11" x14ac:dyDescent="0.45">
      <c r="A243" t="s">
        <v>213</v>
      </c>
      <c r="B243" t="s">
        <v>567</v>
      </c>
      <c r="D243" t="s">
        <v>583</v>
      </c>
      <c r="E243" t="s">
        <v>591</v>
      </c>
      <c r="F243">
        <v>14314</v>
      </c>
      <c r="G243" t="s">
        <v>597</v>
      </c>
      <c r="J243" t="s">
        <v>611</v>
      </c>
      <c r="K243">
        <f t="shared" si="3"/>
        <v>-14314</v>
      </c>
    </row>
    <row r="244" spans="1:11" x14ac:dyDescent="0.45">
      <c r="A244" t="s">
        <v>213</v>
      </c>
      <c r="B244" t="s">
        <v>567</v>
      </c>
      <c r="D244" t="s">
        <v>582</v>
      </c>
      <c r="E244" t="s">
        <v>591</v>
      </c>
      <c r="F244">
        <v>11681</v>
      </c>
      <c r="G244" t="s">
        <v>593</v>
      </c>
      <c r="J244" t="s">
        <v>608</v>
      </c>
      <c r="K244">
        <f t="shared" si="3"/>
        <v>-11681</v>
      </c>
    </row>
    <row r="245" spans="1:11" x14ac:dyDescent="0.45">
      <c r="A245" t="s">
        <v>526</v>
      </c>
      <c r="B245" t="s">
        <v>567</v>
      </c>
      <c r="D245" t="s">
        <v>585</v>
      </c>
      <c r="E245" t="s">
        <v>591</v>
      </c>
      <c r="F245">
        <v>10632</v>
      </c>
      <c r="G245" t="s">
        <v>597</v>
      </c>
      <c r="J245" t="s">
        <v>607</v>
      </c>
      <c r="K245">
        <f t="shared" si="3"/>
        <v>-10632</v>
      </c>
    </row>
    <row r="246" spans="1:11" x14ac:dyDescent="0.45">
      <c r="A246" t="s">
        <v>476</v>
      </c>
      <c r="B246" t="s">
        <v>567</v>
      </c>
      <c r="D246" t="s">
        <v>585</v>
      </c>
      <c r="E246" t="s">
        <v>591</v>
      </c>
      <c r="F246">
        <v>2403</v>
      </c>
      <c r="G246" t="s">
        <v>594</v>
      </c>
      <c r="J246" t="s">
        <v>614</v>
      </c>
      <c r="K246">
        <f t="shared" si="3"/>
        <v>-2403</v>
      </c>
    </row>
    <row r="247" spans="1:11" x14ac:dyDescent="0.45">
      <c r="A247" t="s">
        <v>476</v>
      </c>
      <c r="B247" t="s">
        <v>567</v>
      </c>
      <c r="D247" t="s">
        <v>589</v>
      </c>
      <c r="E247" t="s">
        <v>591</v>
      </c>
      <c r="F247">
        <v>42356</v>
      </c>
      <c r="G247" t="s">
        <v>598</v>
      </c>
      <c r="J247" t="s">
        <v>608</v>
      </c>
      <c r="K247">
        <f t="shared" si="3"/>
        <v>-42356</v>
      </c>
    </row>
    <row r="248" spans="1:11" x14ac:dyDescent="0.45">
      <c r="A248" t="s">
        <v>316</v>
      </c>
      <c r="B248" t="s">
        <v>566</v>
      </c>
      <c r="E248" t="s">
        <v>592</v>
      </c>
      <c r="F248">
        <v>74316</v>
      </c>
      <c r="G248" t="s">
        <v>593</v>
      </c>
      <c r="H248" t="s">
        <v>602</v>
      </c>
      <c r="I248">
        <v>-9.52</v>
      </c>
      <c r="J248" t="s">
        <v>606</v>
      </c>
      <c r="K248">
        <f t="shared" si="3"/>
        <v>-74316</v>
      </c>
    </row>
    <row r="249" spans="1:11" x14ac:dyDescent="0.45">
      <c r="A249" t="s">
        <v>316</v>
      </c>
      <c r="B249" t="s">
        <v>566</v>
      </c>
      <c r="E249" t="s">
        <v>592</v>
      </c>
      <c r="F249">
        <v>31063</v>
      </c>
      <c r="G249" t="s">
        <v>594</v>
      </c>
      <c r="H249" t="s">
        <v>604</v>
      </c>
      <c r="I249">
        <v>5.87</v>
      </c>
      <c r="J249" t="s">
        <v>606</v>
      </c>
      <c r="K249">
        <f t="shared" si="3"/>
        <v>-31063</v>
      </c>
    </row>
    <row r="250" spans="1:11" x14ac:dyDescent="0.45">
      <c r="A250" t="s">
        <v>337</v>
      </c>
      <c r="B250" t="s">
        <v>566</v>
      </c>
      <c r="C250" t="s">
        <v>581</v>
      </c>
      <c r="E250" t="s">
        <v>590</v>
      </c>
      <c r="F250">
        <v>152464</v>
      </c>
      <c r="G250" t="s">
        <v>593</v>
      </c>
      <c r="J250" t="s">
        <v>605</v>
      </c>
      <c r="K250">
        <f t="shared" si="3"/>
        <v>152464</v>
      </c>
    </row>
    <row r="251" spans="1:11" x14ac:dyDescent="0.45">
      <c r="A251" t="s">
        <v>354</v>
      </c>
      <c r="B251" t="s">
        <v>566</v>
      </c>
      <c r="D251" t="s">
        <v>587</v>
      </c>
      <c r="E251" t="s">
        <v>591</v>
      </c>
      <c r="F251">
        <v>3128</v>
      </c>
      <c r="G251" t="s">
        <v>595</v>
      </c>
      <c r="J251" t="s">
        <v>605</v>
      </c>
      <c r="K251">
        <f t="shared" si="3"/>
        <v>-3128</v>
      </c>
    </row>
    <row r="252" spans="1:11" x14ac:dyDescent="0.45">
      <c r="A252" t="s">
        <v>538</v>
      </c>
      <c r="B252" t="s">
        <v>566</v>
      </c>
      <c r="C252" t="s">
        <v>577</v>
      </c>
      <c r="E252" t="s">
        <v>590</v>
      </c>
      <c r="F252">
        <v>80556</v>
      </c>
      <c r="G252" t="s">
        <v>595</v>
      </c>
      <c r="J252" t="s">
        <v>606</v>
      </c>
      <c r="K252">
        <f t="shared" si="3"/>
        <v>80556</v>
      </c>
    </row>
    <row r="253" spans="1:11" x14ac:dyDescent="0.45">
      <c r="A253" t="s">
        <v>103</v>
      </c>
      <c r="B253" t="s">
        <v>566</v>
      </c>
      <c r="C253" t="s">
        <v>579</v>
      </c>
      <c r="E253" t="s">
        <v>590</v>
      </c>
      <c r="F253">
        <v>100813</v>
      </c>
      <c r="G253" t="s">
        <v>593</v>
      </c>
      <c r="J253" t="s">
        <v>613</v>
      </c>
      <c r="K253">
        <f t="shared" si="3"/>
        <v>100813</v>
      </c>
    </row>
    <row r="254" spans="1:11" x14ac:dyDescent="0.45">
      <c r="A254" t="s">
        <v>103</v>
      </c>
      <c r="B254" t="s">
        <v>566</v>
      </c>
      <c r="D254" t="s">
        <v>585</v>
      </c>
      <c r="E254" t="s">
        <v>591</v>
      </c>
      <c r="F254">
        <v>7388</v>
      </c>
      <c r="G254" t="s">
        <v>597</v>
      </c>
      <c r="J254" t="s">
        <v>606</v>
      </c>
      <c r="K254">
        <f t="shared" si="3"/>
        <v>-7388</v>
      </c>
    </row>
    <row r="255" spans="1:11" x14ac:dyDescent="0.45">
      <c r="A255" t="s">
        <v>129</v>
      </c>
      <c r="B255" t="s">
        <v>566</v>
      </c>
      <c r="E255" t="s">
        <v>592</v>
      </c>
      <c r="F255">
        <v>16654</v>
      </c>
      <c r="G255" t="s">
        <v>594</v>
      </c>
      <c r="H255" t="s">
        <v>601</v>
      </c>
      <c r="I255">
        <v>-10.09</v>
      </c>
      <c r="J255" t="s">
        <v>614</v>
      </c>
      <c r="K255">
        <f t="shared" si="3"/>
        <v>-16654</v>
      </c>
    </row>
    <row r="256" spans="1:11" x14ac:dyDescent="0.45">
      <c r="A256" t="s">
        <v>53</v>
      </c>
      <c r="B256" t="s">
        <v>566</v>
      </c>
      <c r="C256" t="s">
        <v>581</v>
      </c>
      <c r="E256" t="s">
        <v>590</v>
      </c>
      <c r="F256">
        <v>76657</v>
      </c>
      <c r="G256" t="s">
        <v>595</v>
      </c>
      <c r="J256" t="s">
        <v>610</v>
      </c>
      <c r="K256">
        <f t="shared" si="3"/>
        <v>76657</v>
      </c>
    </row>
    <row r="257" spans="1:11" x14ac:dyDescent="0.45">
      <c r="A257" t="s">
        <v>53</v>
      </c>
      <c r="B257" t="s">
        <v>566</v>
      </c>
      <c r="E257" t="s">
        <v>592</v>
      </c>
      <c r="F257">
        <v>2227</v>
      </c>
      <c r="G257" t="s">
        <v>597</v>
      </c>
      <c r="H257" t="s">
        <v>601</v>
      </c>
      <c r="I257">
        <v>-14.6</v>
      </c>
      <c r="J257" t="s">
        <v>608</v>
      </c>
      <c r="K257">
        <f t="shared" si="3"/>
        <v>-2227</v>
      </c>
    </row>
    <row r="258" spans="1:11" x14ac:dyDescent="0.45">
      <c r="A258" t="s">
        <v>53</v>
      </c>
      <c r="B258" t="s">
        <v>566</v>
      </c>
      <c r="C258" t="s">
        <v>578</v>
      </c>
      <c r="E258" t="s">
        <v>590</v>
      </c>
      <c r="F258">
        <v>92338</v>
      </c>
      <c r="G258" t="s">
        <v>597</v>
      </c>
      <c r="J258" t="s">
        <v>605</v>
      </c>
      <c r="K258">
        <f t="shared" ref="K258:K321" si="4">IF(E258= "Income", F258, -F258)</f>
        <v>92338</v>
      </c>
    </row>
    <row r="259" spans="1:11" x14ac:dyDescent="0.45">
      <c r="A259" t="s">
        <v>244</v>
      </c>
      <c r="B259" t="s">
        <v>566</v>
      </c>
      <c r="D259" t="s">
        <v>582</v>
      </c>
      <c r="E259" t="s">
        <v>591</v>
      </c>
      <c r="F259">
        <v>42307</v>
      </c>
      <c r="G259" t="s">
        <v>596</v>
      </c>
      <c r="J259" t="s">
        <v>610</v>
      </c>
      <c r="K259">
        <f t="shared" si="4"/>
        <v>-42307</v>
      </c>
    </row>
    <row r="260" spans="1:11" x14ac:dyDescent="0.45">
      <c r="A260" t="s">
        <v>446</v>
      </c>
      <c r="B260" t="s">
        <v>566</v>
      </c>
      <c r="D260" t="s">
        <v>583</v>
      </c>
      <c r="E260" t="s">
        <v>591</v>
      </c>
      <c r="F260">
        <v>16174</v>
      </c>
      <c r="G260" t="s">
        <v>597</v>
      </c>
      <c r="J260" t="s">
        <v>611</v>
      </c>
      <c r="K260">
        <f t="shared" si="4"/>
        <v>-16174</v>
      </c>
    </row>
    <row r="261" spans="1:11" x14ac:dyDescent="0.45">
      <c r="A261" t="s">
        <v>446</v>
      </c>
      <c r="B261" t="s">
        <v>566</v>
      </c>
      <c r="C261" t="s">
        <v>577</v>
      </c>
      <c r="E261" t="s">
        <v>590</v>
      </c>
      <c r="F261">
        <v>77993</v>
      </c>
      <c r="G261" t="s">
        <v>594</v>
      </c>
      <c r="J261" t="s">
        <v>608</v>
      </c>
      <c r="K261">
        <f t="shared" si="4"/>
        <v>77993</v>
      </c>
    </row>
    <row r="262" spans="1:11" x14ac:dyDescent="0.45">
      <c r="A262" t="s">
        <v>46</v>
      </c>
      <c r="B262" t="s">
        <v>566</v>
      </c>
      <c r="D262" t="s">
        <v>585</v>
      </c>
      <c r="E262" t="s">
        <v>591</v>
      </c>
      <c r="F262">
        <v>7212</v>
      </c>
      <c r="G262" t="s">
        <v>593</v>
      </c>
      <c r="J262" t="s">
        <v>609</v>
      </c>
      <c r="K262">
        <f t="shared" si="4"/>
        <v>-7212</v>
      </c>
    </row>
    <row r="263" spans="1:11" x14ac:dyDescent="0.45">
      <c r="A263" t="s">
        <v>46</v>
      </c>
      <c r="B263" t="s">
        <v>566</v>
      </c>
      <c r="D263" t="s">
        <v>588</v>
      </c>
      <c r="E263" t="s">
        <v>591</v>
      </c>
      <c r="F263">
        <v>5803</v>
      </c>
      <c r="G263" t="s">
        <v>598</v>
      </c>
      <c r="J263" t="s">
        <v>613</v>
      </c>
      <c r="K263">
        <f t="shared" si="4"/>
        <v>-5803</v>
      </c>
    </row>
    <row r="264" spans="1:11" x14ac:dyDescent="0.45">
      <c r="A264" t="s">
        <v>46</v>
      </c>
      <c r="B264" t="s">
        <v>566</v>
      </c>
      <c r="C264" t="s">
        <v>575</v>
      </c>
      <c r="E264" t="s">
        <v>590</v>
      </c>
      <c r="F264">
        <v>80211</v>
      </c>
      <c r="G264" t="s">
        <v>597</v>
      </c>
      <c r="J264" t="s">
        <v>612</v>
      </c>
      <c r="K264">
        <f t="shared" si="4"/>
        <v>80211</v>
      </c>
    </row>
    <row r="265" spans="1:11" x14ac:dyDescent="0.45">
      <c r="A265" t="s">
        <v>464</v>
      </c>
      <c r="B265" t="s">
        <v>566</v>
      </c>
      <c r="C265" t="s">
        <v>581</v>
      </c>
      <c r="E265" t="s">
        <v>590</v>
      </c>
      <c r="F265">
        <v>179282</v>
      </c>
      <c r="G265" t="s">
        <v>598</v>
      </c>
      <c r="J265" t="s">
        <v>605</v>
      </c>
      <c r="K265">
        <f t="shared" si="4"/>
        <v>179282</v>
      </c>
    </row>
    <row r="266" spans="1:11" x14ac:dyDescent="0.45">
      <c r="A266" t="s">
        <v>464</v>
      </c>
      <c r="B266" t="s">
        <v>566</v>
      </c>
      <c r="D266" t="s">
        <v>587</v>
      </c>
      <c r="E266" t="s">
        <v>591</v>
      </c>
      <c r="F266">
        <v>3302</v>
      </c>
      <c r="G266" t="s">
        <v>596</v>
      </c>
      <c r="J266" t="s">
        <v>612</v>
      </c>
      <c r="K266">
        <f t="shared" si="4"/>
        <v>-3302</v>
      </c>
    </row>
    <row r="267" spans="1:11" x14ac:dyDescent="0.45">
      <c r="A267" t="s">
        <v>338</v>
      </c>
      <c r="B267" t="s">
        <v>566</v>
      </c>
      <c r="D267" t="s">
        <v>584</v>
      </c>
      <c r="E267" t="s">
        <v>591</v>
      </c>
      <c r="F267">
        <v>6878</v>
      </c>
      <c r="G267" t="s">
        <v>596</v>
      </c>
      <c r="J267" t="s">
        <v>609</v>
      </c>
      <c r="K267">
        <f t="shared" si="4"/>
        <v>-6878</v>
      </c>
    </row>
    <row r="268" spans="1:11" x14ac:dyDescent="0.45">
      <c r="A268" t="s">
        <v>305</v>
      </c>
      <c r="B268" t="s">
        <v>566</v>
      </c>
      <c r="E268" t="s">
        <v>592</v>
      </c>
      <c r="F268">
        <v>6324</v>
      </c>
      <c r="G268" t="s">
        <v>598</v>
      </c>
      <c r="H268" t="s">
        <v>601</v>
      </c>
      <c r="I268">
        <v>16.440000000000001</v>
      </c>
      <c r="J268" t="s">
        <v>609</v>
      </c>
      <c r="K268">
        <f t="shared" si="4"/>
        <v>-6324</v>
      </c>
    </row>
    <row r="269" spans="1:11" x14ac:dyDescent="0.45">
      <c r="A269" t="s">
        <v>459</v>
      </c>
      <c r="B269" t="s">
        <v>566</v>
      </c>
      <c r="D269" t="s">
        <v>583</v>
      </c>
      <c r="E269" t="s">
        <v>591</v>
      </c>
      <c r="F269">
        <v>17661</v>
      </c>
      <c r="G269" t="s">
        <v>596</v>
      </c>
      <c r="J269" t="s">
        <v>614</v>
      </c>
      <c r="K269">
        <f t="shared" si="4"/>
        <v>-17661</v>
      </c>
    </row>
    <row r="270" spans="1:11" x14ac:dyDescent="0.45">
      <c r="A270" t="s">
        <v>525</v>
      </c>
      <c r="B270" t="s">
        <v>566</v>
      </c>
      <c r="C270" t="s">
        <v>575</v>
      </c>
      <c r="E270" t="s">
        <v>590</v>
      </c>
      <c r="F270">
        <v>54203</v>
      </c>
      <c r="G270" t="s">
        <v>595</v>
      </c>
      <c r="J270" t="s">
        <v>606</v>
      </c>
      <c r="K270">
        <f t="shared" si="4"/>
        <v>54203</v>
      </c>
    </row>
    <row r="271" spans="1:11" x14ac:dyDescent="0.45">
      <c r="A271" t="s">
        <v>272</v>
      </c>
      <c r="B271" t="s">
        <v>566</v>
      </c>
      <c r="D271" t="s">
        <v>584</v>
      </c>
      <c r="E271" t="s">
        <v>591</v>
      </c>
      <c r="F271">
        <v>1225</v>
      </c>
      <c r="G271" t="s">
        <v>598</v>
      </c>
      <c r="J271" t="s">
        <v>609</v>
      </c>
      <c r="K271">
        <f t="shared" si="4"/>
        <v>-1225</v>
      </c>
    </row>
    <row r="272" spans="1:11" x14ac:dyDescent="0.45">
      <c r="A272" t="s">
        <v>272</v>
      </c>
      <c r="B272" t="s">
        <v>566</v>
      </c>
      <c r="C272" t="s">
        <v>575</v>
      </c>
      <c r="E272" t="s">
        <v>590</v>
      </c>
      <c r="F272">
        <v>35044</v>
      </c>
      <c r="G272" t="s">
        <v>598</v>
      </c>
      <c r="J272" t="s">
        <v>610</v>
      </c>
      <c r="K272">
        <f t="shared" si="4"/>
        <v>35044</v>
      </c>
    </row>
    <row r="273" spans="1:11" x14ac:dyDescent="0.45">
      <c r="A273" t="s">
        <v>551</v>
      </c>
      <c r="B273" t="s">
        <v>566</v>
      </c>
      <c r="D273" t="s">
        <v>586</v>
      </c>
      <c r="E273" t="s">
        <v>591</v>
      </c>
      <c r="F273">
        <v>18888</v>
      </c>
      <c r="G273" t="s">
        <v>597</v>
      </c>
      <c r="J273" t="s">
        <v>607</v>
      </c>
      <c r="K273">
        <f t="shared" si="4"/>
        <v>-18888</v>
      </c>
    </row>
    <row r="274" spans="1:11" x14ac:dyDescent="0.45">
      <c r="A274" t="s">
        <v>13</v>
      </c>
      <c r="B274" t="s">
        <v>566</v>
      </c>
      <c r="D274" t="s">
        <v>583</v>
      </c>
      <c r="E274" t="s">
        <v>591</v>
      </c>
      <c r="F274">
        <v>7523</v>
      </c>
      <c r="G274" t="s">
        <v>595</v>
      </c>
      <c r="J274" t="s">
        <v>608</v>
      </c>
      <c r="K274">
        <f t="shared" si="4"/>
        <v>-7523</v>
      </c>
    </row>
    <row r="275" spans="1:11" x14ac:dyDescent="0.45">
      <c r="A275" t="s">
        <v>13</v>
      </c>
      <c r="B275" t="s">
        <v>566</v>
      </c>
      <c r="E275" t="s">
        <v>592</v>
      </c>
      <c r="F275">
        <v>18979</v>
      </c>
      <c r="G275" t="s">
        <v>597</v>
      </c>
      <c r="H275" t="s">
        <v>602</v>
      </c>
      <c r="I275">
        <v>-4.8</v>
      </c>
      <c r="J275" t="s">
        <v>611</v>
      </c>
      <c r="K275">
        <f t="shared" si="4"/>
        <v>-18979</v>
      </c>
    </row>
    <row r="276" spans="1:11" x14ac:dyDescent="0.45">
      <c r="A276" t="s">
        <v>13</v>
      </c>
      <c r="B276" t="s">
        <v>566</v>
      </c>
      <c r="D276" t="s">
        <v>587</v>
      </c>
      <c r="E276" t="s">
        <v>591</v>
      </c>
      <c r="F276">
        <v>2880</v>
      </c>
      <c r="G276" t="s">
        <v>593</v>
      </c>
      <c r="J276" t="s">
        <v>610</v>
      </c>
      <c r="K276">
        <f t="shared" si="4"/>
        <v>-2880</v>
      </c>
    </row>
    <row r="277" spans="1:11" x14ac:dyDescent="0.45">
      <c r="A277" t="s">
        <v>478</v>
      </c>
      <c r="B277" t="s">
        <v>566</v>
      </c>
      <c r="C277" t="s">
        <v>575</v>
      </c>
      <c r="E277" t="s">
        <v>590</v>
      </c>
      <c r="F277">
        <v>91173</v>
      </c>
      <c r="G277" t="s">
        <v>598</v>
      </c>
      <c r="J277" t="s">
        <v>611</v>
      </c>
      <c r="K277">
        <f t="shared" si="4"/>
        <v>91173</v>
      </c>
    </row>
    <row r="278" spans="1:11" x14ac:dyDescent="0.45">
      <c r="A278" t="s">
        <v>423</v>
      </c>
      <c r="B278" t="s">
        <v>566</v>
      </c>
      <c r="E278" t="s">
        <v>592</v>
      </c>
      <c r="F278">
        <v>24492</v>
      </c>
      <c r="G278" t="s">
        <v>596</v>
      </c>
      <c r="H278" t="s">
        <v>601</v>
      </c>
      <c r="I278">
        <v>-7.37</v>
      </c>
      <c r="J278" t="s">
        <v>606</v>
      </c>
      <c r="K278">
        <f t="shared" si="4"/>
        <v>-24492</v>
      </c>
    </row>
    <row r="279" spans="1:11" x14ac:dyDescent="0.45">
      <c r="A279" t="s">
        <v>423</v>
      </c>
      <c r="B279" t="s">
        <v>566</v>
      </c>
      <c r="E279" t="s">
        <v>592</v>
      </c>
      <c r="F279">
        <v>20382</v>
      </c>
      <c r="G279" t="s">
        <v>596</v>
      </c>
      <c r="H279" t="s">
        <v>603</v>
      </c>
      <c r="I279">
        <v>20.87</v>
      </c>
      <c r="J279" t="s">
        <v>611</v>
      </c>
      <c r="K279">
        <f t="shared" si="4"/>
        <v>-20382</v>
      </c>
    </row>
    <row r="280" spans="1:11" x14ac:dyDescent="0.45">
      <c r="A280" t="s">
        <v>63</v>
      </c>
      <c r="B280" t="s">
        <v>566</v>
      </c>
      <c r="D280" t="s">
        <v>584</v>
      </c>
      <c r="E280" t="s">
        <v>591</v>
      </c>
      <c r="F280">
        <v>4340</v>
      </c>
      <c r="G280" t="s">
        <v>595</v>
      </c>
      <c r="J280" t="s">
        <v>609</v>
      </c>
      <c r="K280">
        <f t="shared" si="4"/>
        <v>-4340</v>
      </c>
    </row>
    <row r="281" spans="1:11" x14ac:dyDescent="0.45">
      <c r="A281" t="s">
        <v>63</v>
      </c>
      <c r="B281" t="s">
        <v>566</v>
      </c>
      <c r="C281" t="s">
        <v>580</v>
      </c>
      <c r="E281" t="s">
        <v>590</v>
      </c>
      <c r="F281">
        <v>90505</v>
      </c>
      <c r="G281" t="s">
        <v>595</v>
      </c>
      <c r="J281" t="s">
        <v>613</v>
      </c>
      <c r="K281">
        <f t="shared" si="4"/>
        <v>90505</v>
      </c>
    </row>
    <row r="282" spans="1:11" x14ac:dyDescent="0.45">
      <c r="A282" t="s">
        <v>434</v>
      </c>
      <c r="B282" t="s">
        <v>566</v>
      </c>
      <c r="C282" t="s">
        <v>578</v>
      </c>
      <c r="E282" t="s">
        <v>590</v>
      </c>
      <c r="F282">
        <v>36479</v>
      </c>
      <c r="G282" t="s">
        <v>595</v>
      </c>
      <c r="J282" t="s">
        <v>610</v>
      </c>
      <c r="K282">
        <f t="shared" si="4"/>
        <v>36479</v>
      </c>
    </row>
    <row r="283" spans="1:11" x14ac:dyDescent="0.45">
      <c r="A283" t="s">
        <v>434</v>
      </c>
      <c r="B283" t="s">
        <v>566</v>
      </c>
      <c r="C283" t="s">
        <v>577</v>
      </c>
      <c r="E283" t="s">
        <v>590</v>
      </c>
      <c r="F283">
        <v>80456</v>
      </c>
      <c r="G283" t="s">
        <v>597</v>
      </c>
      <c r="J283" t="s">
        <v>611</v>
      </c>
      <c r="K283">
        <f t="shared" si="4"/>
        <v>80456</v>
      </c>
    </row>
    <row r="284" spans="1:11" x14ac:dyDescent="0.45">
      <c r="A284" t="s">
        <v>292</v>
      </c>
      <c r="B284" t="s">
        <v>566</v>
      </c>
      <c r="D284" t="s">
        <v>589</v>
      </c>
      <c r="E284" t="s">
        <v>591</v>
      </c>
      <c r="F284">
        <v>35437</v>
      </c>
      <c r="G284" t="s">
        <v>595</v>
      </c>
      <c r="J284" t="s">
        <v>611</v>
      </c>
      <c r="K284">
        <f t="shared" si="4"/>
        <v>-35437</v>
      </c>
    </row>
    <row r="285" spans="1:11" x14ac:dyDescent="0.45">
      <c r="A285" t="s">
        <v>292</v>
      </c>
      <c r="B285" t="s">
        <v>566</v>
      </c>
      <c r="D285" t="s">
        <v>589</v>
      </c>
      <c r="E285" t="s">
        <v>591</v>
      </c>
      <c r="F285">
        <v>22666</v>
      </c>
      <c r="G285" t="s">
        <v>593</v>
      </c>
      <c r="J285" t="s">
        <v>606</v>
      </c>
      <c r="K285">
        <f t="shared" si="4"/>
        <v>-22666</v>
      </c>
    </row>
    <row r="286" spans="1:11" x14ac:dyDescent="0.45">
      <c r="A286" t="s">
        <v>373</v>
      </c>
      <c r="B286" t="s">
        <v>571</v>
      </c>
      <c r="E286" t="s">
        <v>592</v>
      </c>
      <c r="F286">
        <v>190652</v>
      </c>
      <c r="G286" t="s">
        <v>598</v>
      </c>
      <c r="H286" t="s">
        <v>600</v>
      </c>
      <c r="I286">
        <v>0.08</v>
      </c>
      <c r="J286" t="s">
        <v>608</v>
      </c>
      <c r="K286">
        <f t="shared" si="4"/>
        <v>-190652</v>
      </c>
    </row>
    <row r="287" spans="1:11" x14ac:dyDescent="0.45">
      <c r="A287" t="s">
        <v>373</v>
      </c>
      <c r="B287" t="s">
        <v>571</v>
      </c>
      <c r="C287" t="s">
        <v>581</v>
      </c>
      <c r="E287" t="s">
        <v>590</v>
      </c>
      <c r="F287">
        <v>106876</v>
      </c>
      <c r="G287" t="s">
        <v>596</v>
      </c>
      <c r="J287" t="s">
        <v>610</v>
      </c>
      <c r="K287">
        <f t="shared" si="4"/>
        <v>106876</v>
      </c>
    </row>
    <row r="288" spans="1:11" x14ac:dyDescent="0.45">
      <c r="A288" t="s">
        <v>69</v>
      </c>
      <c r="B288" t="s">
        <v>571</v>
      </c>
      <c r="D288" t="s">
        <v>582</v>
      </c>
      <c r="E288" t="s">
        <v>591</v>
      </c>
      <c r="F288">
        <v>31178</v>
      </c>
      <c r="G288" t="s">
        <v>597</v>
      </c>
      <c r="J288" t="s">
        <v>614</v>
      </c>
      <c r="K288">
        <f t="shared" si="4"/>
        <v>-31178</v>
      </c>
    </row>
    <row r="289" spans="1:11" x14ac:dyDescent="0.45">
      <c r="A289" t="s">
        <v>340</v>
      </c>
      <c r="B289" t="s">
        <v>571</v>
      </c>
      <c r="E289" t="s">
        <v>592</v>
      </c>
      <c r="F289">
        <v>75289</v>
      </c>
      <c r="G289" t="s">
        <v>594</v>
      </c>
      <c r="H289" t="s">
        <v>603</v>
      </c>
      <c r="I289">
        <v>5.45</v>
      </c>
      <c r="J289" t="s">
        <v>610</v>
      </c>
      <c r="K289">
        <f t="shared" si="4"/>
        <v>-75289</v>
      </c>
    </row>
    <row r="290" spans="1:11" x14ac:dyDescent="0.45">
      <c r="A290" t="s">
        <v>340</v>
      </c>
      <c r="B290" t="s">
        <v>571</v>
      </c>
      <c r="D290" t="s">
        <v>585</v>
      </c>
      <c r="E290" t="s">
        <v>591</v>
      </c>
      <c r="F290">
        <v>2937</v>
      </c>
      <c r="G290" t="s">
        <v>593</v>
      </c>
      <c r="J290" t="s">
        <v>605</v>
      </c>
      <c r="K290">
        <f t="shared" si="4"/>
        <v>-2937</v>
      </c>
    </row>
    <row r="291" spans="1:11" x14ac:dyDescent="0.45">
      <c r="A291" t="s">
        <v>117</v>
      </c>
      <c r="B291" t="s">
        <v>571</v>
      </c>
      <c r="D291" t="s">
        <v>584</v>
      </c>
      <c r="E291" t="s">
        <v>591</v>
      </c>
      <c r="F291">
        <v>2988</v>
      </c>
      <c r="G291" t="s">
        <v>596</v>
      </c>
      <c r="J291" t="s">
        <v>608</v>
      </c>
      <c r="K291">
        <f t="shared" si="4"/>
        <v>-2988</v>
      </c>
    </row>
    <row r="292" spans="1:11" x14ac:dyDescent="0.45">
      <c r="A292" t="s">
        <v>117</v>
      </c>
      <c r="B292" t="s">
        <v>571</v>
      </c>
      <c r="C292" t="s">
        <v>579</v>
      </c>
      <c r="E292" t="s">
        <v>590</v>
      </c>
      <c r="F292">
        <v>73784</v>
      </c>
      <c r="G292" t="s">
        <v>594</v>
      </c>
      <c r="J292" t="s">
        <v>611</v>
      </c>
      <c r="K292">
        <f t="shared" si="4"/>
        <v>73784</v>
      </c>
    </row>
    <row r="293" spans="1:11" x14ac:dyDescent="0.45">
      <c r="A293" t="s">
        <v>485</v>
      </c>
      <c r="B293" t="s">
        <v>571</v>
      </c>
      <c r="D293" t="s">
        <v>588</v>
      </c>
      <c r="E293" t="s">
        <v>591</v>
      </c>
      <c r="F293">
        <v>6411</v>
      </c>
      <c r="G293" t="s">
        <v>596</v>
      </c>
      <c r="J293" t="s">
        <v>605</v>
      </c>
      <c r="K293">
        <f t="shared" si="4"/>
        <v>-6411</v>
      </c>
    </row>
    <row r="294" spans="1:11" x14ac:dyDescent="0.45">
      <c r="A294" t="s">
        <v>205</v>
      </c>
      <c r="B294" t="s">
        <v>571</v>
      </c>
      <c r="D294" t="s">
        <v>589</v>
      </c>
      <c r="E294" t="s">
        <v>591</v>
      </c>
      <c r="F294">
        <v>23340</v>
      </c>
      <c r="G294" t="s">
        <v>593</v>
      </c>
      <c r="J294" t="s">
        <v>611</v>
      </c>
      <c r="K294">
        <f t="shared" si="4"/>
        <v>-23340</v>
      </c>
    </row>
    <row r="295" spans="1:11" x14ac:dyDescent="0.45">
      <c r="A295" t="s">
        <v>205</v>
      </c>
      <c r="B295" t="s">
        <v>571</v>
      </c>
      <c r="E295" t="s">
        <v>592</v>
      </c>
      <c r="F295">
        <v>169614</v>
      </c>
      <c r="G295" t="s">
        <v>594</v>
      </c>
      <c r="H295" t="s">
        <v>600</v>
      </c>
      <c r="I295">
        <v>7.69</v>
      </c>
      <c r="J295" t="s">
        <v>609</v>
      </c>
      <c r="K295">
        <f t="shared" si="4"/>
        <v>-169614</v>
      </c>
    </row>
    <row r="296" spans="1:11" x14ac:dyDescent="0.45">
      <c r="A296" t="s">
        <v>205</v>
      </c>
      <c r="B296" t="s">
        <v>571</v>
      </c>
      <c r="D296" t="s">
        <v>586</v>
      </c>
      <c r="E296" t="s">
        <v>591</v>
      </c>
      <c r="F296">
        <v>23987</v>
      </c>
      <c r="G296" t="s">
        <v>596</v>
      </c>
      <c r="J296" t="s">
        <v>610</v>
      </c>
      <c r="K296">
        <f t="shared" si="4"/>
        <v>-23987</v>
      </c>
    </row>
    <row r="297" spans="1:11" x14ac:dyDescent="0.45">
      <c r="A297" t="s">
        <v>542</v>
      </c>
      <c r="B297" t="s">
        <v>571</v>
      </c>
      <c r="E297" t="s">
        <v>592</v>
      </c>
      <c r="F297">
        <v>8633</v>
      </c>
      <c r="G297" t="s">
        <v>597</v>
      </c>
      <c r="H297" t="s">
        <v>599</v>
      </c>
      <c r="I297">
        <v>16.18</v>
      </c>
      <c r="J297" t="s">
        <v>614</v>
      </c>
      <c r="K297">
        <f t="shared" si="4"/>
        <v>-8633</v>
      </c>
    </row>
    <row r="298" spans="1:11" x14ac:dyDescent="0.45">
      <c r="A298" t="s">
        <v>52</v>
      </c>
      <c r="B298" t="s">
        <v>571</v>
      </c>
      <c r="E298" t="s">
        <v>592</v>
      </c>
      <c r="F298">
        <v>152133</v>
      </c>
      <c r="G298" t="s">
        <v>596</v>
      </c>
      <c r="H298" t="s">
        <v>600</v>
      </c>
      <c r="I298">
        <v>-12.38</v>
      </c>
      <c r="J298" t="s">
        <v>606</v>
      </c>
      <c r="K298">
        <f t="shared" si="4"/>
        <v>-152133</v>
      </c>
    </row>
    <row r="299" spans="1:11" x14ac:dyDescent="0.45">
      <c r="A299" t="s">
        <v>521</v>
      </c>
      <c r="B299" t="s">
        <v>571</v>
      </c>
      <c r="E299" t="s">
        <v>592</v>
      </c>
      <c r="F299">
        <v>6989</v>
      </c>
      <c r="G299" t="s">
        <v>598</v>
      </c>
      <c r="H299" t="s">
        <v>601</v>
      </c>
      <c r="I299">
        <v>25.73</v>
      </c>
      <c r="J299" t="s">
        <v>605</v>
      </c>
      <c r="K299">
        <f t="shared" si="4"/>
        <v>-6989</v>
      </c>
    </row>
    <row r="300" spans="1:11" x14ac:dyDescent="0.45">
      <c r="A300" t="s">
        <v>90</v>
      </c>
      <c r="B300" t="s">
        <v>571</v>
      </c>
      <c r="C300" t="s">
        <v>575</v>
      </c>
      <c r="E300" t="s">
        <v>590</v>
      </c>
      <c r="F300">
        <v>150779</v>
      </c>
      <c r="G300" t="s">
        <v>595</v>
      </c>
      <c r="J300" t="s">
        <v>606</v>
      </c>
      <c r="K300">
        <f t="shared" si="4"/>
        <v>150779</v>
      </c>
    </row>
    <row r="301" spans="1:11" x14ac:dyDescent="0.45">
      <c r="A301" t="s">
        <v>90</v>
      </c>
      <c r="B301" t="s">
        <v>571</v>
      </c>
      <c r="C301" t="s">
        <v>579</v>
      </c>
      <c r="E301" t="s">
        <v>590</v>
      </c>
      <c r="F301">
        <v>15179</v>
      </c>
      <c r="G301" t="s">
        <v>596</v>
      </c>
      <c r="J301" t="s">
        <v>608</v>
      </c>
      <c r="K301">
        <f t="shared" si="4"/>
        <v>15179</v>
      </c>
    </row>
    <row r="302" spans="1:11" x14ac:dyDescent="0.45">
      <c r="A302" t="s">
        <v>90</v>
      </c>
      <c r="B302" t="s">
        <v>571</v>
      </c>
      <c r="E302" t="s">
        <v>592</v>
      </c>
      <c r="F302">
        <v>47411</v>
      </c>
      <c r="G302" t="s">
        <v>593</v>
      </c>
      <c r="H302" t="s">
        <v>600</v>
      </c>
      <c r="I302">
        <v>19.170000000000002</v>
      </c>
      <c r="J302" t="s">
        <v>608</v>
      </c>
      <c r="K302">
        <f t="shared" si="4"/>
        <v>-47411</v>
      </c>
    </row>
    <row r="303" spans="1:11" x14ac:dyDescent="0.45">
      <c r="A303" t="s">
        <v>494</v>
      </c>
      <c r="B303" t="s">
        <v>571</v>
      </c>
      <c r="C303" t="s">
        <v>579</v>
      </c>
      <c r="E303" t="s">
        <v>590</v>
      </c>
      <c r="F303">
        <v>158058</v>
      </c>
      <c r="G303" t="s">
        <v>596</v>
      </c>
      <c r="J303" t="s">
        <v>612</v>
      </c>
      <c r="K303">
        <f t="shared" si="4"/>
        <v>158058</v>
      </c>
    </row>
    <row r="304" spans="1:11" x14ac:dyDescent="0.45">
      <c r="A304" t="s">
        <v>427</v>
      </c>
      <c r="B304" t="s">
        <v>571</v>
      </c>
      <c r="D304" t="s">
        <v>582</v>
      </c>
      <c r="E304" t="s">
        <v>591</v>
      </c>
      <c r="F304">
        <v>40517</v>
      </c>
      <c r="G304" t="s">
        <v>593</v>
      </c>
      <c r="J304" t="s">
        <v>611</v>
      </c>
      <c r="K304">
        <f t="shared" si="4"/>
        <v>-40517</v>
      </c>
    </row>
    <row r="305" spans="1:11" x14ac:dyDescent="0.45">
      <c r="A305" t="s">
        <v>427</v>
      </c>
      <c r="B305" t="s">
        <v>571</v>
      </c>
      <c r="D305" t="s">
        <v>586</v>
      </c>
      <c r="E305" t="s">
        <v>591</v>
      </c>
      <c r="F305">
        <v>9317</v>
      </c>
      <c r="G305" t="s">
        <v>598</v>
      </c>
      <c r="J305" t="s">
        <v>614</v>
      </c>
      <c r="K305">
        <f t="shared" si="4"/>
        <v>-9317</v>
      </c>
    </row>
    <row r="306" spans="1:11" x14ac:dyDescent="0.45">
      <c r="A306" t="s">
        <v>456</v>
      </c>
      <c r="B306" t="s">
        <v>571</v>
      </c>
      <c r="D306" t="s">
        <v>584</v>
      </c>
      <c r="E306" t="s">
        <v>591</v>
      </c>
      <c r="F306">
        <v>3644</v>
      </c>
      <c r="G306" t="s">
        <v>596</v>
      </c>
      <c r="J306" t="s">
        <v>611</v>
      </c>
      <c r="K306">
        <f t="shared" si="4"/>
        <v>-3644</v>
      </c>
    </row>
    <row r="307" spans="1:11" x14ac:dyDescent="0.45">
      <c r="A307" t="s">
        <v>456</v>
      </c>
      <c r="B307" t="s">
        <v>571</v>
      </c>
      <c r="D307" t="s">
        <v>585</v>
      </c>
      <c r="E307" t="s">
        <v>591</v>
      </c>
      <c r="F307">
        <v>1187</v>
      </c>
      <c r="G307" t="s">
        <v>597</v>
      </c>
      <c r="J307" t="s">
        <v>614</v>
      </c>
      <c r="K307">
        <f t="shared" si="4"/>
        <v>-1187</v>
      </c>
    </row>
    <row r="308" spans="1:11" x14ac:dyDescent="0.45">
      <c r="A308" t="s">
        <v>456</v>
      </c>
      <c r="B308" t="s">
        <v>571</v>
      </c>
      <c r="C308" t="s">
        <v>578</v>
      </c>
      <c r="E308" t="s">
        <v>590</v>
      </c>
      <c r="F308">
        <v>20688</v>
      </c>
      <c r="G308" t="s">
        <v>598</v>
      </c>
      <c r="J308" t="s">
        <v>609</v>
      </c>
      <c r="K308">
        <f t="shared" si="4"/>
        <v>20688</v>
      </c>
    </row>
    <row r="309" spans="1:11" x14ac:dyDescent="0.45">
      <c r="A309" t="s">
        <v>399</v>
      </c>
      <c r="B309" t="s">
        <v>571</v>
      </c>
      <c r="D309" t="s">
        <v>583</v>
      </c>
      <c r="E309" t="s">
        <v>591</v>
      </c>
      <c r="F309">
        <v>10783</v>
      </c>
      <c r="G309" t="s">
        <v>596</v>
      </c>
      <c r="J309" t="s">
        <v>610</v>
      </c>
      <c r="K309">
        <f t="shared" si="4"/>
        <v>-10783</v>
      </c>
    </row>
    <row r="310" spans="1:11" x14ac:dyDescent="0.45">
      <c r="A310" t="s">
        <v>399</v>
      </c>
      <c r="B310" t="s">
        <v>571</v>
      </c>
      <c r="D310" t="s">
        <v>583</v>
      </c>
      <c r="E310" t="s">
        <v>591</v>
      </c>
      <c r="F310">
        <v>8085</v>
      </c>
      <c r="G310" t="s">
        <v>597</v>
      </c>
      <c r="J310" t="s">
        <v>609</v>
      </c>
      <c r="K310">
        <f t="shared" si="4"/>
        <v>-8085</v>
      </c>
    </row>
    <row r="311" spans="1:11" x14ac:dyDescent="0.45">
      <c r="A311" t="s">
        <v>294</v>
      </c>
      <c r="B311" t="s">
        <v>571</v>
      </c>
      <c r="E311" t="s">
        <v>592</v>
      </c>
      <c r="F311">
        <v>10470</v>
      </c>
      <c r="G311" t="s">
        <v>598</v>
      </c>
      <c r="H311" t="s">
        <v>601</v>
      </c>
      <c r="I311">
        <v>15.31</v>
      </c>
      <c r="J311" t="s">
        <v>613</v>
      </c>
      <c r="K311">
        <f t="shared" si="4"/>
        <v>-10470</v>
      </c>
    </row>
    <row r="312" spans="1:11" x14ac:dyDescent="0.45">
      <c r="A312" t="s">
        <v>294</v>
      </c>
      <c r="B312" t="s">
        <v>571</v>
      </c>
      <c r="C312" t="s">
        <v>579</v>
      </c>
      <c r="E312" t="s">
        <v>590</v>
      </c>
      <c r="F312">
        <v>50982</v>
      </c>
      <c r="G312" t="s">
        <v>594</v>
      </c>
      <c r="J312" t="s">
        <v>614</v>
      </c>
      <c r="K312">
        <f t="shared" si="4"/>
        <v>50982</v>
      </c>
    </row>
    <row r="313" spans="1:11" x14ac:dyDescent="0.45">
      <c r="A313" t="s">
        <v>233</v>
      </c>
      <c r="B313" t="s">
        <v>571</v>
      </c>
      <c r="E313" t="s">
        <v>592</v>
      </c>
      <c r="F313">
        <v>23228</v>
      </c>
      <c r="G313" t="s">
        <v>594</v>
      </c>
      <c r="H313" t="s">
        <v>604</v>
      </c>
      <c r="I313">
        <v>-2.2799999999999998</v>
      </c>
      <c r="J313" t="s">
        <v>607</v>
      </c>
      <c r="K313">
        <f t="shared" si="4"/>
        <v>-23228</v>
      </c>
    </row>
    <row r="314" spans="1:11" x14ac:dyDescent="0.45">
      <c r="A314" t="s">
        <v>233</v>
      </c>
      <c r="B314" t="s">
        <v>571</v>
      </c>
      <c r="D314" t="s">
        <v>588</v>
      </c>
      <c r="E314" t="s">
        <v>591</v>
      </c>
      <c r="F314">
        <v>5613</v>
      </c>
      <c r="G314" t="s">
        <v>593</v>
      </c>
      <c r="J314" t="s">
        <v>610</v>
      </c>
      <c r="K314">
        <f t="shared" si="4"/>
        <v>-5613</v>
      </c>
    </row>
    <row r="315" spans="1:11" x14ac:dyDescent="0.45">
      <c r="A315" t="s">
        <v>164</v>
      </c>
      <c r="B315" t="s">
        <v>571</v>
      </c>
      <c r="D315" t="s">
        <v>583</v>
      </c>
      <c r="E315" t="s">
        <v>591</v>
      </c>
      <c r="F315">
        <v>3525</v>
      </c>
      <c r="G315" t="s">
        <v>598</v>
      </c>
      <c r="J315" t="s">
        <v>610</v>
      </c>
      <c r="K315">
        <f t="shared" si="4"/>
        <v>-3525</v>
      </c>
    </row>
    <row r="316" spans="1:11" x14ac:dyDescent="0.45">
      <c r="A316" t="s">
        <v>164</v>
      </c>
      <c r="B316" t="s">
        <v>571</v>
      </c>
      <c r="E316" t="s">
        <v>592</v>
      </c>
      <c r="F316">
        <v>45352</v>
      </c>
      <c r="G316" t="s">
        <v>596</v>
      </c>
      <c r="H316" t="s">
        <v>602</v>
      </c>
      <c r="I316">
        <v>0.73</v>
      </c>
      <c r="J316" t="s">
        <v>612</v>
      </c>
      <c r="K316">
        <f t="shared" si="4"/>
        <v>-45352</v>
      </c>
    </row>
    <row r="317" spans="1:11" x14ac:dyDescent="0.45">
      <c r="A317" t="s">
        <v>74</v>
      </c>
      <c r="B317" t="s">
        <v>571</v>
      </c>
      <c r="C317" t="s">
        <v>575</v>
      </c>
      <c r="E317" t="s">
        <v>590</v>
      </c>
      <c r="F317">
        <v>65627</v>
      </c>
      <c r="G317" t="s">
        <v>595</v>
      </c>
      <c r="J317" t="s">
        <v>611</v>
      </c>
      <c r="K317">
        <f t="shared" si="4"/>
        <v>65627</v>
      </c>
    </row>
    <row r="318" spans="1:11" x14ac:dyDescent="0.45">
      <c r="A318" t="s">
        <v>23</v>
      </c>
      <c r="B318" t="s">
        <v>571</v>
      </c>
      <c r="E318" t="s">
        <v>592</v>
      </c>
      <c r="F318">
        <v>14145</v>
      </c>
      <c r="G318" t="s">
        <v>593</v>
      </c>
      <c r="H318" t="s">
        <v>601</v>
      </c>
      <c r="I318">
        <v>-3.49</v>
      </c>
      <c r="J318" t="s">
        <v>608</v>
      </c>
      <c r="K318">
        <f t="shared" si="4"/>
        <v>-14145</v>
      </c>
    </row>
    <row r="319" spans="1:11" x14ac:dyDescent="0.45">
      <c r="A319" t="s">
        <v>23</v>
      </c>
      <c r="B319" t="s">
        <v>571</v>
      </c>
      <c r="C319" t="s">
        <v>581</v>
      </c>
      <c r="E319" t="s">
        <v>590</v>
      </c>
      <c r="F319">
        <v>101619</v>
      </c>
      <c r="G319" t="s">
        <v>594</v>
      </c>
      <c r="J319" t="s">
        <v>607</v>
      </c>
      <c r="K319">
        <f t="shared" si="4"/>
        <v>101619</v>
      </c>
    </row>
    <row r="320" spans="1:11" x14ac:dyDescent="0.45">
      <c r="A320" t="s">
        <v>23</v>
      </c>
      <c r="B320" t="s">
        <v>571</v>
      </c>
      <c r="E320" t="s">
        <v>592</v>
      </c>
      <c r="F320">
        <v>163910</v>
      </c>
      <c r="G320" t="s">
        <v>598</v>
      </c>
      <c r="H320" t="s">
        <v>600</v>
      </c>
      <c r="I320">
        <v>25.88</v>
      </c>
      <c r="J320" t="s">
        <v>609</v>
      </c>
      <c r="K320">
        <f t="shared" si="4"/>
        <v>-163910</v>
      </c>
    </row>
    <row r="321" spans="1:11" x14ac:dyDescent="0.45">
      <c r="A321" t="s">
        <v>23</v>
      </c>
      <c r="B321" t="s">
        <v>571</v>
      </c>
      <c r="E321" t="s">
        <v>592</v>
      </c>
      <c r="F321">
        <v>54969</v>
      </c>
      <c r="G321" t="s">
        <v>598</v>
      </c>
      <c r="H321" t="s">
        <v>602</v>
      </c>
      <c r="I321">
        <v>7.0000000000000007E-2</v>
      </c>
      <c r="J321" t="s">
        <v>608</v>
      </c>
      <c r="K321">
        <f t="shared" si="4"/>
        <v>-54969</v>
      </c>
    </row>
    <row r="322" spans="1:11" x14ac:dyDescent="0.45">
      <c r="A322" t="s">
        <v>124</v>
      </c>
      <c r="B322" t="s">
        <v>571</v>
      </c>
      <c r="C322" t="s">
        <v>580</v>
      </c>
      <c r="E322" t="s">
        <v>590</v>
      </c>
      <c r="F322">
        <v>97719</v>
      </c>
      <c r="G322" t="s">
        <v>594</v>
      </c>
      <c r="J322" t="s">
        <v>607</v>
      </c>
      <c r="K322">
        <f t="shared" ref="K322:K385" si="5">IF(E322= "Income", F322, -F322)</f>
        <v>97719</v>
      </c>
    </row>
    <row r="323" spans="1:11" x14ac:dyDescent="0.45">
      <c r="A323" t="s">
        <v>169</v>
      </c>
      <c r="B323" t="s">
        <v>571</v>
      </c>
      <c r="D323" t="s">
        <v>584</v>
      </c>
      <c r="E323" t="s">
        <v>591</v>
      </c>
      <c r="F323">
        <v>3964</v>
      </c>
      <c r="G323" t="s">
        <v>596</v>
      </c>
      <c r="J323" t="s">
        <v>606</v>
      </c>
      <c r="K323">
        <f t="shared" si="5"/>
        <v>-3964</v>
      </c>
    </row>
    <row r="324" spans="1:11" x14ac:dyDescent="0.45">
      <c r="A324" t="s">
        <v>169</v>
      </c>
      <c r="B324" t="s">
        <v>571</v>
      </c>
      <c r="E324" t="s">
        <v>592</v>
      </c>
      <c r="F324">
        <v>20830</v>
      </c>
      <c r="G324" t="s">
        <v>597</v>
      </c>
      <c r="H324" t="s">
        <v>601</v>
      </c>
      <c r="I324">
        <v>18.07</v>
      </c>
      <c r="J324" t="s">
        <v>614</v>
      </c>
      <c r="K324">
        <f t="shared" si="5"/>
        <v>-20830</v>
      </c>
    </row>
    <row r="325" spans="1:11" x14ac:dyDescent="0.45">
      <c r="A325" t="s">
        <v>545</v>
      </c>
      <c r="B325" t="s">
        <v>571</v>
      </c>
      <c r="C325" t="s">
        <v>578</v>
      </c>
      <c r="E325" t="s">
        <v>590</v>
      </c>
      <c r="F325">
        <v>39092</v>
      </c>
      <c r="G325" t="s">
        <v>597</v>
      </c>
      <c r="J325" t="s">
        <v>614</v>
      </c>
      <c r="K325">
        <f t="shared" si="5"/>
        <v>39092</v>
      </c>
    </row>
    <row r="326" spans="1:11" x14ac:dyDescent="0.45">
      <c r="A326" t="s">
        <v>86</v>
      </c>
      <c r="B326" t="s">
        <v>571</v>
      </c>
      <c r="D326" t="s">
        <v>586</v>
      </c>
      <c r="E326" t="s">
        <v>591</v>
      </c>
      <c r="F326">
        <v>7025</v>
      </c>
      <c r="G326" t="s">
        <v>593</v>
      </c>
      <c r="J326" t="s">
        <v>606</v>
      </c>
      <c r="K326">
        <f t="shared" si="5"/>
        <v>-7025</v>
      </c>
    </row>
    <row r="327" spans="1:11" x14ac:dyDescent="0.45">
      <c r="A327" t="s">
        <v>86</v>
      </c>
      <c r="B327" t="s">
        <v>571</v>
      </c>
      <c r="C327" t="s">
        <v>578</v>
      </c>
      <c r="E327" t="s">
        <v>590</v>
      </c>
      <c r="F327">
        <v>156597</v>
      </c>
      <c r="G327" t="s">
        <v>594</v>
      </c>
      <c r="J327" t="s">
        <v>612</v>
      </c>
      <c r="K327">
        <f t="shared" si="5"/>
        <v>156597</v>
      </c>
    </row>
    <row r="328" spans="1:11" x14ac:dyDescent="0.45">
      <c r="A328" t="s">
        <v>220</v>
      </c>
      <c r="B328" t="s">
        <v>571</v>
      </c>
      <c r="C328" t="s">
        <v>578</v>
      </c>
      <c r="E328" t="s">
        <v>590</v>
      </c>
      <c r="F328">
        <v>66713</v>
      </c>
      <c r="G328" t="s">
        <v>593</v>
      </c>
      <c r="J328" t="s">
        <v>608</v>
      </c>
      <c r="K328">
        <f t="shared" si="5"/>
        <v>66713</v>
      </c>
    </row>
    <row r="329" spans="1:11" x14ac:dyDescent="0.45">
      <c r="A329" t="s">
        <v>220</v>
      </c>
      <c r="B329" t="s">
        <v>571</v>
      </c>
      <c r="D329" t="s">
        <v>588</v>
      </c>
      <c r="E329" t="s">
        <v>591</v>
      </c>
      <c r="F329">
        <v>746</v>
      </c>
      <c r="G329" t="s">
        <v>593</v>
      </c>
      <c r="J329" t="s">
        <v>609</v>
      </c>
      <c r="K329">
        <f t="shared" si="5"/>
        <v>-746</v>
      </c>
    </row>
    <row r="330" spans="1:11" x14ac:dyDescent="0.45">
      <c r="A330" t="s">
        <v>523</v>
      </c>
      <c r="B330" t="s">
        <v>571</v>
      </c>
      <c r="C330" t="s">
        <v>576</v>
      </c>
      <c r="E330" t="s">
        <v>590</v>
      </c>
      <c r="F330">
        <v>104940</v>
      </c>
      <c r="G330" t="s">
        <v>596</v>
      </c>
      <c r="J330" t="s">
        <v>612</v>
      </c>
      <c r="K330">
        <f t="shared" si="5"/>
        <v>104940</v>
      </c>
    </row>
    <row r="331" spans="1:11" x14ac:dyDescent="0.45">
      <c r="A331" t="s">
        <v>41</v>
      </c>
      <c r="B331" t="s">
        <v>571</v>
      </c>
      <c r="C331" t="s">
        <v>579</v>
      </c>
      <c r="E331" t="s">
        <v>590</v>
      </c>
      <c r="F331">
        <v>71160</v>
      </c>
      <c r="G331" t="s">
        <v>597</v>
      </c>
      <c r="J331" t="s">
        <v>612</v>
      </c>
      <c r="K331">
        <f t="shared" si="5"/>
        <v>71160</v>
      </c>
    </row>
    <row r="332" spans="1:11" x14ac:dyDescent="0.45">
      <c r="A332" t="s">
        <v>41</v>
      </c>
      <c r="B332" t="s">
        <v>571</v>
      </c>
      <c r="D332" t="s">
        <v>587</v>
      </c>
      <c r="E332" t="s">
        <v>591</v>
      </c>
      <c r="F332">
        <v>1126</v>
      </c>
      <c r="G332" t="s">
        <v>595</v>
      </c>
      <c r="J332" t="s">
        <v>608</v>
      </c>
      <c r="K332">
        <f t="shared" si="5"/>
        <v>-1126</v>
      </c>
    </row>
    <row r="333" spans="1:11" x14ac:dyDescent="0.45">
      <c r="A333" t="s">
        <v>41</v>
      </c>
      <c r="B333" t="s">
        <v>571</v>
      </c>
      <c r="C333" t="s">
        <v>579</v>
      </c>
      <c r="E333" t="s">
        <v>590</v>
      </c>
      <c r="F333">
        <v>164886</v>
      </c>
      <c r="G333" t="s">
        <v>597</v>
      </c>
      <c r="J333" t="s">
        <v>613</v>
      </c>
      <c r="K333">
        <f t="shared" si="5"/>
        <v>164886</v>
      </c>
    </row>
    <row r="334" spans="1:11" x14ac:dyDescent="0.45">
      <c r="A334" t="s">
        <v>56</v>
      </c>
      <c r="B334" t="s">
        <v>573</v>
      </c>
      <c r="C334" t="s">
        <v>580</v>
      </c>
      <c r="E334" t="s">
        <v>590</v>
      </c>
      <c r="F334">
        <v>93642</v>
      </c>
      <c r="G334" t="s">
        <v>595</v>
      </c>
      <c r="J334" t="s">
        <v>611</v>
      </c>
      <c r="K334">
        <f t="shared" si="5"/>
        <v>93642</v>
      </c>
    </row>
    <row r="335" spans="1:11" x14ac:dyDescent="0.45">
      <c r="A335" t="s">
        <v>56</v>
      </c>
      <c r="B335" t="s">
        <v>573</v>
      </c>
      <c r="C335" t="s">
        <v>581</v>
      </c>
      <c r="E335" t="s">
        <v>590</v>
      </c>
      <c r="F335">
        <v>128897</v>
      </c>
      <c r="G335" t="s">
        <v>594</v>
      </c>
      <c r="J335" t="s">
        <v>613</v>
      </c>
      <c r="K335">
        <f t="shared" si="5"/>
        <v>128897</v>
      </c>
    </row>
    <row r="336" spans="1:11" x14ac:dyDescent="0.45">
      <c r="A336" t="s">
        <v>299</v>
      </c>
      <c r="B336" t="s">
        <v>573</v>
      </c>
      <c r="C336" t="s">
        <v>575</v>
      </c>
      <c r="E336" t="s">
        <v>590</v>
      </c>
      <c r="F336">
        <v>154209</v>
      </c>
      <c r="G336" t="s">
        <v>593</v>
      </c>
      <c r="J336" t="s">
        <v>605</v>
      </c>
      <c r="K336">
        <f t="shared" si="5"/>
        <v>154209</v>
      </c>
    </row>
    <row r="337" spans="1:11" x14ac:dyDescent="0.45">
      <c r="A337" t="s">
        <v>35</v>
      </c>
      <c r="B337" t="s">
        <v>573</v>
      </c>
      <c r="E337" t="s">
        <v>592</v>
      </c>
      <c r="F337">
        <v>7613</v>
      </c>
      <c r="G337" t="s">
        <v>594</v>
      </c>
      <c r="H337" t="s">
        <v>599</v>
      </c>
      <c r="I337">
        <v>16.47</v>
      </c>
      <c r="J337" t="s">
        <v>607</v>
      </c>
      <c r="K337">
        <f t="shared" si="5"/>
        <v>-7613</v>
      </c>
    </row>
    <row r="338" spans="1:11" x14ac:dyDescent="0.45">
      <c r="A338" t="s">
        <v>35</v>
      </c>
      <c r="B338" t="s">
        <v>573</v>
      </c>
      <c r="D338" t="s">
        <v>582</v>
      </c>
      <c r="E338" t="s">
        <v>591</v>
      </c>
      <c r="F338">
        <v>42621</v>
      </c>
      <c r="G338" t="s">
        <v>594</v>
      </c>
      <c r="J338" t="s">
        <v>611</v>
      </c>
      <c r="K338">
        <f t="shared" si="5"/>
        <v>-42621</v>
      </c>
    </row>
    <row r="339" spans="1:11" x14ac:dyDescent="0.45">
      <c r="A339" t="s">
        <v>119</v>
      </c>
      <c r="B339" t="s">
        <v>573</v>
      </c>
      <c r="D339" t="s">
        <v>589</v>
      </c>
      <c r="E339" t="s">
        <v>591</v>
      </c>
      <c r="F339">
        <v>37384</v>
      </c>
      <c r="G339" t="s">
        <v>593</v>
      </c>
      <c r="J339" t="s">
        <v>613</v>
      </c>
      <c r="K339">
        <f t="shared" si="5"/>
        <v>-37384</v>
      </c>
    </row>
    <row r="340" spans="1:11" x14ac:dyDescent="0.45">
      <c r="A340" t="s">
        <v>328</v>
      </c>
      <c r="B340" t="s">
        <v>573</v>
      </c>
      <c r="D340" t="s">
        <v>586</v>
      </c>
      <c r="E340" t="s">
        <v>591</v>
      </c>
      <c r="F340">
        <v>13496</v>
      </c>
      <c r="G340" t="s">
        <v>593</v>
      </c>
      <c r="J340" t="s">
        <v>607</v>
      </c>
      <c r="K340">
        <f t="shared" si="5"/>
        <v>-13496</v>
      </c>
    </row>
    <row r="341" spans="1:11" x14ac:dyDescent="0.45">
      <c r="A341" t="s">
        <v>59</v>
      </c>
      <c r="B341" t="s">
        <v>573</v>
      </c>
      <c r="D341" t="s">
        <v>585</v>
      </c>
      <c r="E341" t="s">
        <v>591</v>
      </c>
      <c r="F341">
        <v>7479</v>
      </c>
      <c r="G341" t="s">
        <v>597</v>
      </c>
      <c r="J341" t="s">
        <v>609</v>
      </c>
      <c r="K341">
        <f t="shared" si="5"/>
        <v>-7479</v>
      </c>
    </row>
    <row r="342" spans="1:11" x14ac:dyDescent="0.45">
      <c r="A342" t="s">
        <v>333</v>
      </c>
      <c r="B342" t="s">
        <v>573</v>
      </c>
      <c r="D342" t="s">
        <v>588</v>
      </c>
      <c r="E342" t="s">
        <v>591</v>
      </c>
      <c r="F342">
        <v>4716</v>
      </c>
      <c r="G342" t="s">
        <v>595</v>
      </c>
      <c r="J342" t="s">
        <v>613</v>
      </c>
      <c r="K342">
        <f t="shared" si="5"/>
        <v>-4716</v>
      </c>
    </row>
    <row r="343" spans="1:11" x14ac:dyDescent="0.45">
      <c r="A343" t="s">
        <v>552</v>
      </c>
      <c r="B343" t="s">
        <v>573</v>
      </c>
      <c r="C343" t="s">
        <v>578</v>
      </c>
      <c r="E343" t="s">
        <v>590</v>
      </c>
      <c r="F343">
        <v>127739</v>
      </c>
      <c r="G343" t="s">
        <v>596</v>
      </c>
      <c r="J343" t="s">
        <v>608</v>
      </c>
      <c r="K343">
        <f t="shared" si="5"/>
        <v>127739</v>
      </c>
    </row>
    <row r="344" spans="1:11" x14ac:dyDescent="0.45">
      <c r="A344" t="s">
        <v>318</v>
      </c>
      <c r="B344" t="s">
        <v>573</v>
      </c>
      <c r="D344" t="s">
        <v>585</v>
      </c>
      <c r="E344" t="s">
        <v>591</v>
      </c>
      <c r="F344">
        <v>4816</v>
      </c>
      <c r="G344" t="s">
        <v>593</v>
      </c>
      <c r="J344" t="s">
        <v>610</v>
      </c>
      <c r="K344">
        <f t="shared" si="5"/>
        <v>-4816</v>
      </c>
    </row>
    <row r="345" spans="1:11" x14ac:dyDescent="0.45">
      <c r="A345" t="s">
        <v>357</v>
      </c>
      <c r="B345" t="s">
        <v>573</v>
      </c>
      <c r="D345" t="s">
        <v>588</v>
      </c>
      <c r="E345" t="s">
        <v>591</v>
      </c>
      <c r="F345">
        <v>3225</v>
      </c>
      <c r="G345" t="s">
        <v>598</v>
      </c>
      <c r="J345" t="s">
        <v>608</v>
      </c>
      <c r="K345">
        <f t="shared" si="5"/>
        <v>-3225</v>
      </c>
    </row>
    <row r="346" spans="1:11" x14ac:dyDescent="0.45">
      <c r="A346" t="s">
        <v>357</v>
      </c>
      <c r="B346" t="s">
        <v>573</v>
      </c>
      <c r="D346" t="s">
        <v>584</v>
      </c>
      <c r="E346" t="s">
        <v>591</v>
      </c>
      <c r="F346">
        <v>6581</v>
      </c>
      <c r="G346" t="s">
        <v>598</v>
      </c>
      <c r="J346" t="s">
        <v>606</v>
      </c>
      <c r="K346">
        <f t="shared" si="5"/>
        <v>-6581</v>
      </c>
    </row>
    <row r="347" spans="1:11" x14ac:dyDescent="0.45">
      <c r="A347" t="s">
        <v>261</v>
      </c>
      <c r="B347" t="s">
        <v>573</v>
      </c>
      <c r="E347" t="s">
        <v>592</v>
      </c>
      <c r="F347">
        <v>14192</v>
      </c>
      <c r="G347" t="s">
        <v>595</v>
      </c>
      <c r="H347" t="s">
        <v>599</v>
      </c>
      <c r="I347">
        <v>6.46</v>
      </c>
      <c r="J347" t="s">
        <v>607</v>
      </c>
      <c r="K347">
        <f t="shared" si="5"/>
        <v>-14192</v>
      </c>
    </row>
    <row r="348" spans="1:11" x14ac:dyDescent="0.45">
      <c r="A348" t="s">
        <v>261</v>
      </c>
      <c r="B348" t="s">
        <v>573</v>
      </c>
      <c r="C348" t="s">
        <v>575</v>
      </c>
      <c r="E348" t="s">
        <v>590</v>
      </c>
      <c r="F348">
        <v>117163</v>
      </c>
      <c r="G348" t="s">
        <v>595</v>
      </c>
      <c r="J348" t="s">
        <v>605</v>
      </c>
      <c r="K348">
        <f t="shared" si="5"/>
        <v>117163</v>
      </c>
    </row>
    <row r="349" spans="1:11" x14ac:dyDescent="0.45">
      <c r="A349" t="s">
        <v>187</v>
      </c>
      <c r="B349" t="s">
        <v>573</v>
      </c>
      <c r="D349" t="s">
        <v>582</v>
      </c>
      <c r="E349" t="s">
        <v>591</v>
      </c>
      <c r="F349">
        <v>9689</v>
      </c>
      <c r="G349" t="s">
        <v>593</v>
      </c>
      <c r="J349" t="s">
        <v>606</v>
      </c>
      <c r="K349">
        <f t="shared" si="5"/>
        <v>-9689</v>
      </c>
    </row>
    <row r="350" spans="1:11" x14ac:dyDescent="0.45">
      <c r="A350" t="s">
        <v>187</v>
      </c>
      <c r="B350" t="s">
        <v>573</v>
      </c>
      <c r="C350" t="s">
        <v>575</v>
      </c>
      <c r="E350" t="s">
        <v>590</v>
      </c>
      <c r="F350">
        <v>58391</v>
      </c>
      <c r="G350" t="s">
        <v>594</v>
      </c>
      <c r="J350" t="s">
        <v>614</v>
      </c>
      <c r="K350">
        <f t="shared" si="5"/>
        <v>58391</v>
      </c>
    </row>
    <row r="351" spans="1:11" x14ac:dyDescent="0.45">
      <c r="A351" t="s">
        <v>187</v>
      </c>
      <c r="B351" t="s">
        <v>573</v>
      </c>
      <c r="C351" t="s">
        <v>575</v>
      </c>
      <c r="E351" t="s">
        <v>590</v>
      </c>
      <c r="F351">
        <v>167199</v>
      </c>
      <c r="G351" t="s">
        <v>595</v>
      </c>
      <c r="J351" t="s">
        <v>611</v>
      </c>
      <c r="K351">
        <f t="shared" si="5"/>
        <v>167199</v>
      </c>
    </row>
    <row r="352" spans="1:11" x14ac:dyDescent="0.45">
      <c r="A352" t="s">
        <v>352</v>
      </c>
      <c r="B352" t="s">
        <v>573</v>
      </c>
      <c r="E352" t="s">
        <v>592</v>
      </c>
      <c r="F352">
        <v>82924</v>
      </c>
      <c r="G352" t="s">
        <v>597</v>
      </c>
      <c r="H352" t="s">
        <v>603</v>
      </c>
      <c r="I352">
        <v>6.32</v>
      </c>
      <c r="J352" t="s">
        <v>605</v>
      </c>
      <c r="K352">
        <f t="shared" si="5"/>
        <v>-82924</v>
      </c>
    </row>
    <row r="353" spans="1:11" x14ac:dyDescent="0.45">
      <c r="A353" t="s">
        <v>513</v>
      </c>
      <c r="B353" t="s">
        <v>573</v>
      </c>
      <c r="C353" t="s">
        <v>576</v>
      </c>
      <c r="E353" t="s">
        <v>590</v>
      </c>
      <c r="F353">
        <v>126034</v>
      </c>
      <c r="G353" t="s">
        <v>597</v>
      </c>
      <c r="J353" t="s">
        <v>611</v>
      </c>
      <c r="K353">
        <f t="shared" si="5"/>
        <v>126034</v>
      </c>
    </row>
    <row r="354" spans="1:11" x14ac:dyDescent="0.45">
      <c r="A354" t="s">
        <v>314</v>
      </c>
      <c r="B354" t="s">
        <v>573</v>
      </c>
      <c r="E354" t="s">
        <v>592</v>
      </c>
      <c r="F354">
        <v>29560</v>
      </c>
      <c r="G354" t="s">
        <v>594</v>
      </c>
      <c r="H354" t="s">
        <v>603</v>
      </c>
      <c r="I354">
        <v>9.8699999999999992</v>
      </c>
      <c r="J354" t="s">
        <v>614</v>
      </c>
      <c r="K354">
        <f t="shared" si="5"/>
        <v>-29560</v>
      </c>
    </row>
    <row r="355" spans="1:11" x14ac:dyDescent="0.45">
      <c r="A355" t="s">
        <v>212</v>
      </c>
      <c r="B355" t="s">
        <v>573</v>
      </c>
      <c r="C355" t="s">
        <v>581</v>
      </c>
      <c r="E355" t="s">
        <v>590</v>
      </c>
      <c r="F355">
        <v>17026</v>
      </c>
      <c r="G355" t="s">
        <v>595</v>
      </c>
      <c r="J355" t="s">
        <v>614</v>
      </c>
      <c r="K355">
        <f t="shared" si="5"/>
        <v>17026</v>
      </c>
    </row>
    <row r="356" spans="1:11" x14ac:dyDescent="0.45">
      <c r="A356" t="s">
        <v>488</v>
      </c>
      <c r="B356" t="s">
        <v>573</v>
      </c>
      <c r="D356" t="s">
        <v>584</v>
      </c>
      <c r="E356" t="s">
        <v>591</v>
      </c>
      <c r="F356">
        <v>402</v>
      </c>
      <c r="G356" t="s">
        <v>597</v>
      </c>
      <c r="J356" t="s">
        <v>611</v>
      </c>
      <c r="K356">
        <f t="shared" si="5"/>
        <v>-402</v>
      </c>
    </row>
    <row r="357" spans="1:11" x14ac:dyDescent="0.45">
      <c r="A357" t="s">
        <v>554</v>
      </c>
      <c r="B357" t="s">
        <v>573</v>
      </c>
      <c r="D357" t="s">
        <v>585</v>
      </c>
      <c r="E357" t="s">
        <v>591</v>
      </c>
      <c r="F357">
        <v>11688</v>
      </c>
      <c r="G357" t="s">
        <v>598</v>
      </c>
      <c r="J357" t="s">
        <v>606</v>
      </c>
      <c r="K357">
        <f t="shared" si="5"/>
        <v>-11688</v>
      </c>
    </row>
    <row r="358" spans="1:11" x14ac:dyDescent="0.45">
      <c r="A358" t="s">
        <v>457</v>
      </c>
      <c r="B358" t="s">
        <v>573</v>
      </c>
      <c r="D358" t="s">
        <v>589</v>
      </c>
      <c r="E358" t="s">
        <v>591</v>
      </c>
      <c r="F358">
        <v>56785</v>
      </c>
      <c r="G358" t="s">
        <v>594</v>
      </c>
      <c r="J358" t="s">
        <v>613</v>
      </c>
      <c r="K358">
        <f t="shared" si="5"/>
        <v>-56785</v>
      </c>
    </row>
    <row r="359" spans="1:11" x14ac:dyDescent="0.45">
      <c r="A359" t="s">
        <v>407</v>
      </c>
      <c r="B359" t="s">
        <v>573</v>
      </c>
      <c r="E359" t="s">
        <v>592</v>
      </c>
      <c r="F359">
        <v>47762</v>
      </c>
      <c r="G359" t="s">
        <v>596</v>
      </c>
      <c r="H359" t="s">
        <v>602</v>
      </c>
      <c r="I359">
        <v>-1.32</v>
      </c>
      <c r="J359" t="s">
        <v>605</v>
      </c>
      <c r="K359">
        <f t="shared" si="5"/>
        <v>-47762</v>
      </c>
    </row>
    <row r="360" spans="1:11" x14ac:dyDescent="0.45">
      <c r="A360" t="s">
        <v>372</v>
      </c>
      <c r="B360" t="s">
        <v>573</v>
      </c>
      <c r="D360" t="s">
        <v>582</v>
      </c>
      <c r="E360" t="s">
        <v>591</v>
      </c>
      <c r="F360">
        <v>36774</v>
      </c>
      <c r="G360" t="s">
        <v>594</v>
      </c>
      <c r="J360" t="s">
        <v>605</v>
      </c>
      <c r="K360">
        <f t="shared" si="5"/>
        <v>-36774</v>
      </c>
    </row>
    <row r="361" spans="1:11" x14ac:dyDescent="0.45">
      <c r="A361" t="s">
        <v>372</v>
      </c>
      <c r="B361" t="s">
        <v>573</v>
      </c>
      <c r="C361" t="s">
        <v>578</v>
      </c>
      <c r="E361" t="s">
        <v>590</v>
      </c>
      <c r="F361">
        <v>162913</v>
      </c>
      <c r="G361" t="s">
        <v>594</v>
      </c>
      <c r="J361" t="s">
        <v>612</v>
      </c>
      <c r="K361">
        <f t="shared" si="5"/>
        <v>162913</v>
      </c>
    </row>
    <row r="362" spans="1:11" x14ac:dyDescent="0.45">
      <c r="A362" t="s">
        <v>372</v>
      </c>
      <c r="B362" t="s">
        <v>573</v>
      </c>
      <c r="C362" t="s">
        <v>575</v>
      </c>
      <c r="E362" t="s">
        <v>590</v>
      </c>
      <c r="F362">
        <v>77799</v>
      </c>
      <c r="G362" t="s">
        <v>597</v>
      </c>
      <c r="J362" t="s">
        <v>608</v>
      </c>
      <c r="K362">
        <f t="shared" si="5"/>
        <v>77799</v>
      </c>
    </row>
    <row r="363" spans="1:11" x14ac:dyDescent="0.45">
      <c r="A363" t="s">
        <v>134</v>
      </c>
      <c r="B363" t="s">
        <v>573</v>
      </c>
      <c r="D363" t="s">
        <v>585</v>
      </c>
      <c r="E363" t="s">
        <v>591</v>
      </c>
      <c r="F363">
        <v>4229</v>
      </c>
      <c r="G363" t="s">
        <v>593</v>
      </c>
      <c r="J363" t="s">
        <v>607</v>
      </c>
      <c r="K363">
        <f t="shared" si="5"/>
        <v>-4229</v>
      </c>
    </row>
    <row r="364" spans="1:11" x14ac:dyDescent="0.45">
      <c r="A364" t="s">
        <v>134</v>
      </c>
      <c r="B364" t="s">
        <v>573</v>
      </c>
      <c r="C364" t="s">
        <v>576</v>
      </c>
      <c r="E364" t="s">
        <v>590</v>
      </c>
      <c r="F364">
        <v>81850</v>
      </c>
      <c r="G364" t="s">
        <v>594</v>
      </c>
      <c r="J364" t="s">
        <v>611</v>
      </c>
      <c r="K364">
        <f t="shared" si="5"/>
        <v>81850</v>
      </c>
    </row>
    <row r="365" spans="1:11" x14ac:dyDescent="0.45">
      <c r="A365" t="s">
        <v>138</v>
      </c>
      <c r="B365" t="s">
        <v>573</v>
      </c>
      <c r="E365" t="s">
        <v>592</v>
      </c>
      <c r="F365">
        <v>5908</v>
      </c>
      <c r="G365" t="s">
        <v>596</v>
      </c>
      <c r="H365" t="s">
        <v>599</v>
      </c>
      <c r="I365">
        <v>-7.87</v>
      </c>
      <c r="J365" t="s">
        <v>608</v>
      </c>
      <c r="K365">
        <f t="shared" si="5"/>
        <v>-5908</v>
      </c>
    </row>
    <row r="366" spans="1:11" x14ac:dyDescent="0.45">
      <c r="A366" t="s">
        <v>72</v>
      </c>
      <c r="B366" t="s">
        <v>573</v>
      </c>
      <c r="C366" t="s">
        <v>575</v>
      </c>
      <c r="E366" t="s">
        <v>590</v>
      </c>
      <c r="F366">
        <v>43336</v>
      </c>
      <c r="G366" t="s">
        <v>595</v>
      </c>
      <c r="J366" t="s">
        <v>606</v>
      </c>
      <c r="K366">
        <f t="shared" si="5"/>
        <v>43336</v>
      </c>
    </row>
    <row r="367" spans="1:11" x14ac:dyDescent="0.45">
      <c r="A367" t="s">
        <v>72</v>
      </c>
      <c r="B367" t="s">
        <v>573</v>
      </c>
      <c r="D367" t="s">
        <v>585</v>
      </c>
      <c r="E367" t="s">
        <v>591</v>
      </c>
      <c r="F367">
        <v>1886</v>
      </c>
      <c r="G367" t="s">
        <v>594</v>
      </c>
      <c r="J367" t="s">
        <v>609</v>
      </c>
      <c r="K367">
        <f t="shared" si="5"/>
        <v>-1886</v>
      </c>
    </row>
    <row r="368" spans="1:11" x14ac:dyDescent="0.45">
      <c r="A368" t="s">
        <v>325</v>
      </c>
      <c r="B368" t="s">
        <v>563</v>
      </c>
      <c r="D368" t="s">
        <v>587</v>
      </c>
      <c r="E368" t="s">
        <v>591</v>
      </c>
      <c r="F368">
        <v>448</v>
      </c>
      <c r="G368" t="s">
        <v>593</v>
      </c>
      <c r="J368" t="s">
        <v>608</v>
      </c>
      <c r="K368">
        <f t="shared" si="5"/>
        <v>-448</v>
      </c>
    </row>
    <row r="369" spans="1:11" x14ac:dyDescent="0.45">
      <c r="A369" t="s">
        <v>395</v>
      </c>
      <c r="B369" t="s">
        <v>563</v>
      </c>
      <c r="D369" t="s">
        <v>582</v>
      </c>
      <c r="E369" t="s">
        <v>591</v>
      </c>
      <c r="F369">
        <v>9923</v>
      </c>
      <c r="G369" t="s">
        <v>596</v>
      </c>
      <c r="J369" t="s">
        <v>614</v>
      </c>
      <c r="K369">
        <f t="shared" si="5"/>
        <v>-9923</v>
      </c>
    </row>
    <row r="370" spans="1:11" x14ac:dyDescent="0.45">
      <c r="A370" t="s">
        <v>395</v>
      </c>
      <c r="B370" t="s">
        <v>563</v>
      </c>
      <c r="D370" t="s">
        <v>582</v>
      </c>
      <c r="E370" t="s">
        <v>591</v>
      </c>
      <c r="F370">
        <v>19954</v>
      </c>
      <c r="G370" t="s">
        <v>593</v>
      </c>
      <c r="J370" t="s">
        <v>609</v>
      </c>
      <c r="K370">
        <f t="shared" si="5"/>
        <v>-19954</v>
      </c>
    </row>
    <row r="371" spans="1:11" x14ac:dyDescent="0.45">
      <c r="A371" t="s">
        <v>298</v>
      </c>
      <c r="B371" t="s">
        <v>563</v>
      </c>
      <c r="E371" t="s">
        <v>592</v>
      </c>
      <c r="F371">
        <v>36601</v>
      </c>
      <c r="G371" t="s">
        <v>597</v>
      </c>
      <c r="H371" t="s">
        <v>603</v>
      </c>
      <c r="I371">
        <v>-9.1</v>
      </c>
      <c r="J371" t="s">
        <v>608</v>
      </c>
      <c r="K371">
        <f t="shared" si="5"/>
        <v>-36601</v>
      </c>
    </row>
    <row r="372" spans="1:11" x14ac:dyDescent="0.45">
      <c r="A372" t="s">
        <v>298</v>
      </c>
      <c r="B372" t="s">
        <v>563</v>
      </c>
      <c r="E372" t="s">
        <v>592</v>
      </c>
      <c r="F372">
        <v>20232</v>
      </c>
      <c r="G372" t="s">
        <v>595</v>
      </c>
      <c r="H372" t="s">
        <v>601</v>
      </c>
      <c r="I372">
        <v>7.4</v>
      </c>
      <c r="J372" t="s">
        <v>614</v>
      </c>
      <c r="K372">
        <f t="shared" si="5"/>
        <v>-20232</v>
      </c>
    </row>
    <row r="373" spans="1:11" x14ac:dyDescent="0.45">
      <c r="A373" t="s">
        <v>140</v>
      </c>
      <c r="B373" t="s">
        <v>563</v>
      </c>
      <c r="D373" t="s">
        <v>589</v>
      </c>
      <c r="E373" t="s">
        <v>591</v>
      </c>
      <c r="F373">
        <v>29688</v>
      </c>
      <c r="G373" t="s">
        <v>594</v>
      </c>
      <c r="J373" t="s">
        <v>608</v>
      </c>
      <c r="K373">
        <f t="shared" si="5"/>
        <v>-29688</v>
      </c>
    </row>
    <row r="374" spans="1:11" x14ac:dyDescent="0.45">
      <c r="A374" t="s">
        <v>140</v>
      </c>
      <c r="B374" t="s">
        <v>563</v>
      </c>
      <c r="D374" t="s">
        <v>584</v>
      </c>
      <c r="E374" t="s">
        <v>591</v>
      </c>
      <c r="F374">
        <v>6035</v>
      </c>
      <c r="G374" t="s">
        <v>597</v>
      </c>
      <c r="J374" t="s">
        <v>610</v>
      </c>
      <c r="K374">
        <f t="shared" si="5"/>
        <v>-6035</v>
      </c>
    </row>
    <row r="375" spans="1:11" x14ac:dyDescent="0.45">
      <c r="A375" t="s">
        <v>172</v>
      </c>
      <c r="B375" t="s">
        <v>563</v>
      </c>
      <c r="C375" t="s">
        <v>577</v>
      </c>
      <c r="E375" t="s">
        <v>590</v>
      </c>
      <c r="F375">
        <v>27856</v>
      </c>
      <c r="G375" t="s">
        <v>597</v>
      </c>
      <c r="J375" t="s">
        <v>613</v>
      </c>
      <c r="K375">
        <f t="shared" si="5"/>
        <v>27856</v>
      </c>
    </row>
    <row r="376" spans="1:11" x14ac:dyDescent="0.45">
      <c r="A376" t="s">
        <v>172</v>
      </c>
      <c r="B376" t="s">
        <v>563</v>
      </c>
      <c r="D376" t="s">
        <v>587</v>
      </c>
      <c r="E376" t="s">
        <v>591</v>
      </c>
      <c r="F376">
        <v>457</v>
      </c>
      <c r="G376" t="s">
        <v>598</v>
      </c>
      <c r="J376" t="s">
        <v>614</v>
      </c>
      <c r="K376">
        <f t="shared" si="5"/>
        <v>-457</v>
      </c>
    </row>
    <row r="377" spans="1:11" x14ac:dyDescent="0.45">
      <c r="A377" t="s">
        <v>172</v>
      </c>
      <c r="B377" t="s">
        <v>563</v>
      </c>
      <c r="E377" t="s">
        <v>592</v>
      </c>
      <c r="F377">
        <v>155364</v>
      </c>
      <c r="G377" t="s">
        <v>597</v>
      </c>
      <c r="H377" t="s">
        <v>600</v>
      </c>
      <c r="I377">
        <v>-8.11</v>
      </c>
      <c r="J377" t="s">
        <v>612</v>
      </c>
      <c r="K377">
        <f t="shared" si="5"/>
        <v>-155364</v>
      </c>
    </row>
    <row r="378" spans="1:11" x14ac:dyDescent="0.45">
      <c r="A378" t="s">
        <v>351</v>
      </c>
      <c r="B378" t="s">
        <v>563</v>
      </c>
      <c r="D378" t="s">
        <v>589</v>
      </c>
      <c r="E378" t="s">
        <v>591</v>
      </c>
      <c r="F378">
        <v>52292</v>
      </c>
      <c r="G378" t="s">
        <v>594</v>
      </c>
      <c r="J378" t="s">
        <v>611</v>
      </c>
      <c r="K378">
        <f t="shared" si="5"/>
        <v>-52292</v>
      </c>
    </row>
    <row r="379" spans="1:11" x14ac:dyDescent="0.45">
      <c r="A379" t="s">
        <v>351</v>
      </c>
      <c r="B379" t="s">
        <v>563</v>
      </c>
      <c r="D379" t="s">
        <v>587</v>
      </c>
      <c r="E379" t="s">
        <v>591</v>
      </c>
      <c r="F379">
        <v>3371</v>
      </c>
      <c r="G379" t="s">
        <v>598</v>
      </c>
      <c r="J379" t="s">
        <v>608</v>
      </c>
      <c r="K379">
        <f t="shared" si="5"/>
        <v>-3371</v>
      </c>
    </row>
    <row r="380" spans="1:11" x14ac:dyDescent="0.45">
      <c r="A380" t="s">
        <v>14</v>
      </c>
      <c r="B380" t="s">
        <v>563</v>
      </c>
      <c r="E380" t="s">
        <v>592</v>
      </c>
      <c r="F380">
        <v>12463</v>
      </c>
      <c r="G380" t="s">
        <v>596</v>
      </c>
      <c r="H380" t="s">
        <v>599</v>
      </c>
      <c r="I380">
        <v>15.02</v>
      </c>
      <c r="J380" t="s">
        <v>609</v>
      </c>
      <c r="K380">
        <f t="shared" si="5"/>
        <v>-12463</v>
      </c>
    </row>
    <row r="381" spans="1:11" x14ac:dyDescent="0.45">
      <c r="A381" t="s">
        <v>14</v>
      </c>
      <c r="B381" t="s">
        <v>563</v>
      </c>
      <c r="C381" t="s">
        <v>580</v>
      </c>
      <c r="E381" t="s">
        <v>590</v>
      </c>
      <c r="F381">
        <v>159309</v>
      </c>
      <c r="G381" t="s">
        <v>598</v>
      </c>
      <c r="J381" t="s">
        <v>614</v>
      </c>
      <c r="K381">
        <f t="shared" si="5"/>
        <v>159309</v>
      </c>
    </row>
    <row r="382" spans="1:11" x14ac:dyDescent="0.45">
      <c r="A382" t="s">
        <v>75</v>
      </c>
      <c r="B382" t="s">
        <v>563</v>
      </c>
      <c r="E382" t="s">
        <v>592</v>
      </c>
      <c r="F382">
        <v>12506</v>
      </c>
      <c r="G382" t="s">
        <v>595</v>
      </c>
      <c r="H382" t="s">
        <v>601</v>
      </c>
      <c r="I382">
        <v>12.58</v>
      </c>
      <c r="J382" t="s">
        <v>607</v>
      </c>
      <c r="K382">
        <f t="shared" si="5"/>
        <v>-12506</v>
      </c>
    </row>
    <row r="383" spans="1:11" x14ac:dyDescent="0.45">
      <c r="A383" t="s">
        <v>75</v>
      </c>
      <c r="B383" t="s">
        <v>563</v>
      </c>
      <c r="E383" t="s">
        <v>592</v>
      </c>
      <c r="F383">
        <v>124820</v>
      </c>
      <c r="G383" t="s">
        <v>598</v>
      </c>
      <c r="H383" t="s">
        <v>604</v>
      </c>
      <c r="I383">
        <v>9.5</v>
      </c>
      <c r="J383" t="s">
        <v>614</v>
      </c>
      <c r="K383">
        <f t="shared" si="5"/>
        <v>-124820</v>
      </c>
    </row>
    <row r="384" spans="1:11" x14ac:dyDescent="0.45">
      <c r="A384" t="s">
        <v>524</v>
      </c>
      <c r="B384" t="s">
        <v>563</v>
      </c>
      <c r="D384" t="s">
        <v>585</v>
      </c>
      <c r="E384" t="s">
        <v>591</v>
      </c>
      <c r="F384">
        <v>9735</v>
      </c>
      <c r="G384" t="s">
        <v>598</v>
      </c>
      <c r="J384" t="s">
        <v>605</v>
      </c>
      <c r="K384">
        <f t="shared" si="5"/>
        <v>-9735</v>
      </c>
    </row>
    <row r="385" spans="1:11" x14ac:dyDescent="0.45">
      <c r="A385" t="s">
        <v>510</v>
      </c>
      <c r="B385" t="s">
        <v>563</v>
      </c>
      <c r="D385" t="s">
        <v>583</v>
      </c>
      <c r="E385" t="s">
        <v>591</v>
      </c>
      <c r="F385">
        <v>8747</v>
      </c>
      <c r="G385" t="s">
        <v>593</v>
      </c>
      <c r="J385" t="s">
        <v>606</v>
      </c>
      <c r="K385">
        <f t="shared" si="5"/>
        <v>-8747</v>
      </c>
    </row>
    <row r="386" spans="1:11" x14ac:dyDescent="0.45">
      <c r="A386" t="s">
        <v>510</v>
      </c>
      <c r="B386" t="s">
        <v>563</v>
      </c>
      <c r="D386" t="s">
        <v>585</v>
      </c>
      <c r="E386" t="s">
        <v>591</v>
      </c>
      <c r="F386">
        <v>2450</v>
      </c>
      <c r="G386" t="s">
        <v>597</v>
      </c>
      <c r="J386" t="s">
        <v>612</v>
      </c>
      <c r="K386">
        <f t="shared" ref="K386:K449" si="6">IF(E386= "Income", F386, -F386)</f>
        <v>-2450</v>
      </c>
    </row>
    <row r="387" spans="1:11" x14ac:dyDescent="0.45">
      <c r="A387" t="s">
        <v>510</v>
      </c>
      <c r="B387" t="s">
        <v>563</v>
      </c>
      <c r="C387" t="s">
        <v>575</v>
      </c>
      <c r="E387" t="s">
        <v>590</v>
      </c>
      <c r="F387">
        <v>176995</v>
      </c>
      <c r="G387" t="s">
        <v>596</v>
      </c>
      <c r="J387" t="s">
        <v>606</v>
      </c>
      <c r="K387">
        <f t="shared" si="6"/>
        <v>176995</v>
      </c>
    </row>
    <row r="388" spans="1:11" x14ac:dyDescent="0.45">
      <c r="A388" t="s">
        <v>449</v>
      </c>
      <c r="B388" t="s">
        <v>563</v>
      </c>
      <c r="C388" t="s">
        <v>581</v>
      </c>
      <c r="E388" t="s">
        <v>590</v>
      </c>
      <c r="F388">
        <v>57705</v>
      </c>
      <c r="G388" t="s">
        <v>597</v>
      </c>
      <c r="J388" t="s">
        <v>605</v>
      </c>
      <c r="K388">
        <f t="shared" si="6"/>
        <v>57705</v>
      </c>
    </row>
    <row r="389" spans="1:11" x14ac:dyDescent="0.45">
      <c r="A389" t="s">
        <v>449</v>
      </c>
      <c r="B389" t="s">
        <v>563</v>
      </c>
      <c r="D389" t="s">
        <v>588</v>
      </c>
      <c r="E389" t="s">
        <v>591</v>
      </c>
      <c r="F389">
        <v>6193</v>
      </c>
      <c r="G389" t="s">
        <v>596</v>
      </c>
      <c r="J389" t="s">
        <v>605</v>
      </c>
      <c r="K389">
        <f t="shared" si="6"/>
        <v>-6193</v>
      </c>
    </row>
    <row r="390" spans="1:11" x14ac:dyDescent="0.45">
      <c r="A390" t="s">
        <v>251</v>
      </c>
      <c r="B390" t="s">
        <v>563</v>
      </c>
      <c r="D390" t="s">
        <v>587</v>
      </c>
      <c r="E390" t="s">
        <v>591</v>
      </c>
      <c r="F390">
        <v>2835</v>
      </c>
      <c r="G390" t="s">
        <v>596</v>
      </c>
      <c r="J390" t="s">
        <v>609</v>
      </c>
      <c r="K390">
        <f t="shared" si="6"/>
        <v>-2835</v>
      </c>
    </row>
    <row r="391" spans="1:11" x14ac:dyDescent="0.45">
      <c r="A391" t="s">
        <v>251</v>
      </c>
      <c r="B391" t="s">
        <v>563</v>
      </c>
      <c r="D391" t="s">
        <v>589</v>
      </c>
      <c r="E391" t="s">
        <v>591</v>
      </c>
      <c r="F391">
        <v>14118</v>
      </c>
      <c r="G391" t="s">
        <v>594</v>
      </c>
      <c r="J391" t="s">
        <v>612</v>
      </c>
      <c r="K391">
        <f t="shared" si="6"/>
        <v>-14118</v>
      </c>
    </row>
    <row r="392" spans="1:11" x14ac:dyDescent="0.45">
      <c r="A392" t="s">
        <v>251</v>
      </c>
      <c r="B392" t="s">
        <v>563</v>
      </c>
      <c r="D392" t="s">
        <v>582</v>
      </c>
      <c r="E392" t="s">
        <v>591</v>
      </c>
      <c r="F392">
        <v>36241</v>
      </c>
      <c r="G392" t="s">
        <v>593</v>
      </c>
      <c r="J392" t="s">
        <v>609</v>
      </c>
      <c r="K392">
        <f t="shared" si="6"/>
        <v>-36241</v>
      </c>
    </row>
    <row r="393" spans="1:11" x14ac:dyDescent="0.45">
      <c r="A393" t="s">
        <v>251</v>
      </c>
      <c r="B393" t="s">
        <v>563</v>
      </c>
      <c r="E393" t="s">
        <v>592</v>
      </c>
      <c r="F393">
        <v>14464</v>
      </c>
      <c r="G393" t="s">
        <v>598</v>
      </c>
      <c r="H393" t="s">
        <v>601</v>
      </c>
      <c r="I393">
        <v>-3.64</v>
      </c>
      <c r="J393" t="s">
        <v>613</v>
      </c>
      <c r="K393">
        <f t="shared" si="6"/>
        <v>-14464</v>
      </c>
    </row>
    <row r="394" spans="1:11" x14ac:dyDescent="0.45">
      <c r="A394" t="s">
        <v>83</v>
      </c>
      <c r="B394" t="s">
        <v>563</v>
      </c>
      <c r="C394" t="s">
        <v>577</v>
      </c>
      <c r="E394" t="s">
        <v>590</v>
      </c>
      <c r="F394">
        <v>167039</v>
      </c>
      <c r="G394" t="s">
        <v>597</v>
      </c>
      <c r="J394" t="s">
        <v>611</v>
      </c>
      <c r="K394">
        <f t="shared" si="6"/>
        <v>167039</v>
      </c>
    </row>
    <row r="395" spans="1:11" x14ac:dyDescent="0.45">
      <c r="A395" t="s">
        <v>83</v>
      </c>
      <c r="B395" t="s">
        <v>563</v>
      </c>
      <c r="D395" t="s">
        <v>586</v>
      </c>
      <c r="E395" t="s">
        <v>591</v>
      </c>
      <c r="F395">
        <v>20392</v>
      </c>
      <c r="G395" t="s">
        <v>596</v>
      </c>
      <c r="J395" t="s">
        <v>605</v>
      </c>
      <c r="K395">
        <f t="shared" si="6"/>
        <v>-20392</v>
      </c>
    </row>
    <row r="396" spans="1:11" x14ac:dyDescent="0.45">
      <c r="A396" t="s">
        <v>83</v>
      </c>
      <c r="B396" t="s">
        <v>563</v>
      </c>
      <c r="D396" t="s">
        <v>585</v>
      </c>
      <c r="E396" t="s">
        <v>591</v>
      </c>
      <c r="F396">
        <v>10810</v>
      </c>
      <c r="G396" t="s">
        <v>598</v>
      </c>
      <c r="J396" t="s">
        <v>614</v>
      </c>
      <c r="K396">
        <f t="shared" si="6"/>
        <v>-10810</v>
      </c>
    </row>
    <row r="397" spans="1:11" x14ac:dyDescent="0.45">
      <c r="A397" t="s">
        <v>145</v>
      </c>
      <c r="B397" t="s">
        <v>563</v>
      </c>
      <c r="D397" t="s">
        <v>583</v>
      </c>
      <c r="E397" t="s">
        <v>591</v>
      </c>
      <c r="F397">
        <v>18325</v>
      </c>
      <c r="G397" t="s">
        <v>594</v>
      </c>
      <c r="J397" t="s">
        <v>613</v>
      </c>
      <c r="K397">
        <f t="shared" si="6"/>
        <v>-18325</v>
      </c>
    </row>
    <row r="398" spans="1:11" x14ac:dyDescent="0.45">
      <c r="A398" t="s">
        <v>145</v>
      </c>
      <c r="B398" t="s">
        <v>563</v>
      </c>
      <c r="C398" t="s">
        <v>578</v>
      </c>
      <c r="E398" t="s">
        <v>590</v>
      </c>
      <c r="F398">
        <v>133227</v>
      </c>
      <c r="G398" t="s">
        <v>597</v>
      </c>
      <c r="J398" t="s">
        <v>606</v>
      </c>
      <c r="K398">
        <f t="shared" si="6"/>
        <v>133227</v>
      </c>
    </row>
    <row r="399" spans="1:11" x14ac:dyDescent="0.45">
      <c r="A399" t="s">
        <v>275</v>
      </c>
      <c r="B399" t="s">
        <v>563</v>
      </c>
      <c r="D399" t="s">
        <v>584</v>
      </c>
      <c r="E399" t="s">
        <v>591</v>
      </c>
      <c r="F399">
        <v>4156</v>
      </c>
      <c r="G399" t="s">
        <v>593</v>
      </c>
      <c r="J399" t="s">
        <v>614</v>
      </c>
      <c r="K399">
        <f t="shared" si="6"/>
        <v>-4156</v>
      </c>
    </row>
    <row r="400" spans="1:11" x14ac:dyDescent="0.45">
      <c r="A400" t="s">
        <v>275</v>
      </c>
      <c r="B400" t="s">
        <v>563</v>
      </c>
      <c r="C400" t="s">
        <v>575</v>
      </c>
      <c r="E400" t="s">
        <v>590</v>
      </c>
      <c r="F400">
        <v>166023</v>
      </c>
      <c r="G400" t="s">
        <v>596</v>
      </c>
      <c r="J400" t="s">
        <v>608</v>
      </c>
      <c r="K400">
        <f t="shared" si="6"/>
        <v>166023</v>
      </c>
    </row>
    <row r="401" spans="1:11" x14ac:dyDescent="0.45">
      <c r="A401" t="s">
        <v>275</v>
      </c>
      <c r="B401" t="s">
        <v>563</v>
      </c>
      <c r="D401" t="s">
        <v>584</v>
      </c>
      <c r="E401" t="s">
        <v>591</v>
      </c>
      <c r="F401">
        <v>5168</v>
      </c>
      <c r="G401" t="s">
        <v>594</v>
      </c>
      <c r="J401" t="s">
        <v>609</v>
      </c>
      <c r="K401">
        <f t="shared" si="6"/>
        <v>-5168</v>
      </c>
    </row>
    <row r="402" spans="1:11" x14ac:dyDescent="0.45">
      <c r="A402" t="s">
        <v>18</v>
      </c>
      <c r="B402" t="s">
        <v>563</v>
      </c>
      <c r="E402" t="s">
        <v>592</v>
      </c>
      <c r="F402">
        <v>104800</v>
      </c>
      <c r="G402" t="s">
        <v>598</v>
      </c>
      <c r="H402" t="s">
        <v>600</v>
      </c>
      <c r="I402">
        <v>9.83</v>
      </c>
      <c r="J402" t="s">
        <v>610</v>
      </c>
      <c r="K402">
        <f t="shared" si="6"/>
        <v>-104800</v>
      </c>
    </row>
    <row r="403" spans="1:11" x14ac:dyDescent="0.45">
      <c r="A403" t="s">
        <v>121</v>
      </c>
      <c r="B403" t="s">
        <v>563</v>
      </c>
      <c r="C403" t="s">
        <v>575</v>
      </c>
      <c r="E403" t="s">
        <v>590</v>
      </c>
      <c r="F403">
        <v>78780</v>
      </c>
      <c r="G403" t="s">
        <v>596</v>
      </c>
      <c r="J403" t="s">
        <v>608</v>
      </c>
      <c r="K403">
        <f t="shared" si="6"/>
        <v>78780</v>
      </c>
    </row>
    <row r="404" spans="1:11" x14ac:dyDescent="0.45">
      <c r="A404" t="s">
        <v>121</v>
      </c>
      <c r="B404" t="s">
        <v>563</v>
      </c>
      <c r="D404" t="s">
        <v>583</v>
      </c>
      <c r="E404" t="s">
        <v>591</v>
      </c>
      <c r="F404">
        <v>3549</v>
      </c>
      <c r="G404" t="s">
        <v>598</v>
      </c>
      <c r="J404" t="s">
        <v>610</v>
      </c>
      <c r="K404">
        <f t="shared" si="6"/>
        <v>-3549</v>
      </c>
    </row>
    <row r="405" spans="1:11" x14ac:dyDescent="0.45">
      <c r="A405" t="s">
        <v>332</v>
      </c>
      <c r="B405" t="s">
        <v>563</v>
      </c>
      <c r="C405" t="s">
        <v>578</v>
      </c>
      <c r="E405" t="s">
        <v>590</v>
      </c>
      <c r="F405">
        <v>75298</v>
      </c>
      <c r="G405" t="s">
        <v>595</v>
      </c>
      <c r="J405" t="s">
        <v>608</v>
      </c>
      <c r="K405">
        <f t="shared" si="6"/>
        <v>75298</v>
      </c>
    </row>
    <row r="406" spans="1:11" x14ac:dyDescent="0.45">
      <c r="A406" t="s">
        <v>332</v>
      </c>
      <c r="B406" t="s">
        <v>563</v>
      </c>
      <c r="D406" t="s">
        <v>586</v>
      </c>
      <c r="E406" t="s">
        <v>591</v>
      </c>
      <c r="F406">
        <v>16716</v>
      </c>
      <c r="G406" t="s">
        <v>595</v>
      </c>
      <c r="J406" t="s">
        <v>610</v>
      </c>
      <c r="K406">
        <f t="shared" si="6"/>
        <v>-16716</v>
      </c>
    </row>
    <row r="407" spans="1:11" x14ac:dyDescent="0.45">
      <c r="A407" t="s">
        <v>332</v>
      </c>
      <c r="B407" t="s">
        <v>563</v>
      </c>
      <c r="C407" t="s">
        <v>579</v>
      </c>
      <c r="E407" t="s">
        <v>590</v>
      </c>
      <c r="F407">
        <v>121063</v>
      </c>
      <c r="G407" t="s">
        <v>595</v>
      </c>
      <c r="J407" t="s">
        <v>606</v>
      </c>
      <c r="K407">
        <f t="shared" si="6"/>
        <v>121063</v>
      </c>
    </row>
    <row r="408" spans="1:11" x14ac:dyDescent="0.45">
      <c r="A408" t="s">
        <v>276</v>
      </c>
      <c r="B408" t="s">
        <v>563</v>
      </c>
      <c r="D408" t="s">
        <v>587</v>
      </c>
      <c r="E408" t="s">
        <v>591</v>
      </c>
      <c r="F408">
        <v>797</v>
      </c>
      <c r="G408" t="s">
        <v>595</v>
      </c>
      <c r="J408" t="s">
        <v>614</v>
      </c>
      <c r="K408">
        <f t="shared" si="6"/>
        <v>-797</v>
      </c>
    </row>
    <row r="409" spans="1:11" x14ac:dyDescent="0.45">
      <c r="A409" t="s">
        <v>453</v>
      </c>
      <c r="B409" t="s">
        <v>572</v>
      </c>
      <c r="D409" t="s">
        <v>589</v>
      </c>
      <c r="E409" t="s">
        <v>591</v>
      </c>
      <c r="F409">
        <v>5183</v>
      </c>
      <c r="G409" t="s">
        <v>596</v>
      </c>
      <c r="J409" t="s">
        <v>609</v>
      </c>
      <c r="K409">
        <f t="shared" si="6"/>
        <v>-5183</v>
      </c>
    </row>
    <row r="410" spans="1:11" x14ac:dyDescent="0.45">
      <c r="A410" t="s">
        <v>453</v>
      </c>
      <c r="B410" t="s">
        <v>572</v>
      </c>
      <c r="E410" t="s">
        <v>592</v>
      </c>
      <c r="F410">
        <v>73195</v>
      </c>
      <c r="G410" t="s">
        <v>596</v>
      </c>
      <c r="H410" t="s">
        <v>602</v>
      </c>
      <c r="I410">
        <v>10.64</v>
      </c>
      <c r="J410" t="s">
        <v>614</v>
      </c>
      <c r="K410">
        <f t="shared" si="6"/>
        <v>-73195</v>
      </c>
    </row>
    <row r="411" spans="1:11" x14ac:dyDescent="0.45">
      <c r="A411" t="s">
        <v>453</v>
      </c>
      <c r="B411" t="s">
        <v>572</v>
      </c>
      <c r="D411" t="s">
        <v>588</v>
      </c>
      <c r="E411" t="s">
        <v>591</v>
      </c>
      <c r="F411">
        <v>682</v>
      </c>
      <c r="G411" t="s">
        <v>597</v>
      </c>
      <c r="J411" t="s">
        <v>607</v>
      </c>
      <c r="K411">
        <f t="shared" si="6"/>
        <v>-682</v>
      </c>
    </row>
    <row r="412" spans="1:11" x14ac:dyDescent="0.45">
      <c r="A412" t="s">
        <v>438</v>
      </c>
      <c r="B412" t="s">
        <v>572</v>
      </c>
      <c r="C412" t="s">
        <v>577</v>
      </c>
      <c r="E412" t="s">
        <v>590</v>
      </c>
      <c r="F412">
        <v>24103</v>
      </c>
      <c r="G412" t="s">
        <v>597</v>
      </c>
      <c r="J412" t="s">
        <v>608</v>
      </c>
      <c r="K412">
        <f t="shared" si="6"/>
        <v>24103</v>
      </c>
    </row>
    <row r="413" spans="1:11" x14ac:dyDescent="0.45">
      <c r="A413" t="s">
        <v>438</v>
      </c>
      <c r="B413" t="s">
        <v>572</v>
      </c>
      <c r="E413" t="s">
        <v>592</v>
      </c>
      <c r="F413">
        <v>92289</v>
      </c>
      <c r="G413" t="s">
        <v>597</v>
      </c>
      <c r="H413" t="s">
        <v>600</v>
      </c>
      <c r="I413">
        <v>15.61</v>
      </c>
      <c r="J413" t="s">
        <v>605</v>
      </c>
      <c r="K413">
        <f t="shared" si="6"/>
        <v>-92289</v>
      </c>
    </row>
    <row r="414" spans="1:11" x14ac:dyDescent="0.45">
      <c r="A414" t="s">
        <v>265</v>
      </c>
      <c r="B414" t="s">
        <v>572</v>
      </c>
      <c r="E414" t="s">
        <v>592</v>
      </c>
      <c r="F414">
        <v>94003</v>
      </c>
      <c r="G414" t="s">
        <v>598</v>
      </c>
      <c r="H414" t="s">
        <v>603</v>
      </c>
      <c r="I414">
        <v>24.87</v>
      </c>
      <c r="J414" t="s">
        <v>612</v>
      </c>
      <c r="K414">
        <f t="shared" si="6"/>
        <v>-94003</v>
      </c>
    </row>
    <row r="415" spans="1:11" x14ac:dyDescent="0.45">
      <c r="A415" t="s">
        <v>265</v>
      </c>
      <c r="B415" t="s">
        <v>572</v>
      </c>
      <c r="E415" t="s">
        <v>592</v>
      </c>
      <c r="F415">
        <v>74170</v>
      </c>
      <c r="G415" t="s">
        <v>594</v>
      </c>
      <c r="H415" t="s">
        <v>603</v>
      </c>
      <c r="I415">
        <v>-7.21</v>
      </c>
      <c r="J415" t="s">
        <v>613</v>
      </c>
      <c r="K415">
        <f t="shared" si="6"/>
        <v>-74170</v>
      </c>
    </row>
    <row r="416" spans="1:11" x14ac:dyDescent="0.45">
      <c r="A416" t="s">
        <v>191</v>
      </c>
      <c r="B416" t="s">
        <v>572</v>
      </c>
      <c r="D416" t="s">
        <v>587</v>
      </c>
      <c r="E416" t="s">
        <v>591</v>
      </c>
      <c r="F416">
        <v>399</v>
      </c>
      <c r="G416" t="s">
        <v>595</v>
      </c>
      <c r="J416" t="s">
        <v>614</v>
      </c>
      <c r="K416">
        <f t="shared" si="6"/>
        <v>-399</v>
      </c>
    </row>
    <row r="417" spans="1:11" x14ac:dyDescent="0.45">
      <c r="A417" t="s">
        <v>191</v>
      </c>
      <c r="B417" t="s">
        <v>572</v>
      </c>
      <c r="C417" t="s">
        <v>580</v>
      </c>
      <c r="E417" t="s">
        <v>590</v>
      </c>
      <c r="F417">
        <v>31585</v>
      </c>
      <c r="G417" t="s">
        <v>593</v>
      </c>
      <c r="J417" t="s">
        <v>614</v>
      </c>
      <c r="K417">
        <f t="shared" si="6"/>
        <v>31585</v>
      </c>
    </row>
    <row r="418" spans="1:11" x14ac:dyDescent="0.45">
      <c r="A418" t="s">
        <v>534</v>
      </c>
      <c r="B418" t="s">
        <v>572</v>
      </c>
      <c r="C418" t="s">
        <v>576</v>
      </c>
      <c r="E418" t="s">
        <v>590</v>
      </c>
      <c r="F418">
        <v>50730</v>
      </c>
      <c r="G418" t="s">
        <v>596</v>
      </c>
      <c r="J418" t="s">
        <v>609</v>
      </c>
      <c r="K418">
        <f t="shared" si="6"/>
        <v>50730</v>
      </c>
    </row>
    <row r="419" spans="1:11" x14ac:dyDescent="0.45">
      <c r="A419" t="s">
        <v>366</v>
      </c>
      <c r="B419" t="s">
        <v>572</v>
      </c>
      <c r="C419" t="s">
        <v>578</v>
      </c>
      <c r="E419" t="s">
        <v>590</v>
      </c>
      <c r="F419">
        <v>52056</v>
      </c>
      <c r="G419" t="s">
        <v>597</v>
      </c>
      <c r="J419" t="s">
        <v>614</v>
      </c>
      <c r="K419">
        <f t="shared" si="6"/>
        <v>52056</v>
      </c>
    </row>
    <row r="420" spans="1:11" x14ac:dyDescent="0.45">
      <c r="A420" t="s">
        <v>366</v>
      </c>
      <c r="B420" t="s">
        <v>572</v>
      </c>
      <c r="D420" t="s">
        <v>588</v>
      </c>
      <c r="E420" t="s">
        <v>591</v>
      </c>
      <c r="F420">
        <v>9346</v>
      </c>
      <c r="G420" t="s">
        <v>597</v>
      </c>
      <c r="J420" t="s">
        <v>612</v>
      </c>
      <c r="K420">
        <f t="shared" si="6"/>
        <v>-9346</v>
      </c>
    </row>
    <row r="421" spans="1:11" x14ac:dyDescent="0.45">
      <c r="A421" t="s">
        <v>366</v>
      </c>
      <c r="B421" t="s">
        <v>572</v>
      </c>
      <c r="D421" t="s">
        <v>583</v>
      </c>
      <c r="E421" t="s">
        <v>591</v>
      </c>
      <c r="F421">
        <v>5444</v>
      </c>
      <c r="G421" t="s">
        <v>594</v>
      </c>
      <c r="J421" t="s">
        <v>611</v>
      </c>
      <c r="K421">
        <f t="shared" si="6"/>
        <v>-5444</v>
      </c>
    </row>
    <row r="422" spans="1:11" x14ac:dyDescent="0.45">
      <c r="A422" t="s">
        <v>330</v>
      </c>
      <c r="B422" t="s">
        <v>572</v>
      </c>
      <c r="C422" t="s">
        <v>576</v>
      </c>
      <c r="E422" t="s">
        <v>590</v>
      </c>
      <c r="F422">
        <v>145358</v>
      </c>
      <c r="G422" t="s">
        <v>595</v>
      </c>
      <c r="J422" t="s">
        <v>610</v>
      </c>
      <c r="K422">
        <f t="shared" si="6"/>
        <v>145358</v>
      </c>
    </row>
    <row r="423" spans="1:11" x14ac:dyDescent="0.45">
      <c r="A423" t="s">
        <v>330</v>
      </c>
      <c r="B423" t="s">
        <v>572</v>
      </c>
      <c r="D423" t="s">
        <v>589</v>
      </c>
      <c r="E423" t="s">
        <v>591</v>
      </c>
      <c r="F423">
        <v>33053</v>
      </c>
      <c r="G423" t="s">
        <v>598</v>
      </c>
      <c r="J423" t="s">
        <v>609</v>
      </c>
      <c r="K423">
        <f t="shared" si="6"/>
        <v>-33053</v>
      </c>
    </row>
    <row r="424" spans="1:11" x14ac:dyDescent="0.45">
      <c r="A424" t="s">
        <v>236</v>
      </c>
      <c r="B424" t="s">
        <v>572</v>
      </c>
      <c r="E424" t="s">
        <v>592</v>
      </c>
      <c r="F424">
        <v>30430</v>
      </c>
      <c r="G424" t="s">
        <v>597</v>
      </c>
      <c r="H424" t="s">
        <v>602</v>
      </c>
      <c r="I424">
        <v>0.82</v>
      </c>
      <c r="J424" t="s">
        <v>613</v>
      </c>
      <c r="K424">
        <f t="shared" si="6"/>
        <v>-30430</v>
      </c>
    </row>
    <row r="425" spans="1:11" x14ac:dyDescent="0.45">
      <c r="A425" t="s">
        <v>250</v>
      </c>
      <c r="B425" t="s">
        <v>572</v>
      </c>
      <c r="D425" t="s">
        <v>589</v>
      </c>
      <c r="E425" t="s">
        <v>591</v>
      </c>
      <c r="F425">
        <v>17601</v>
      </c>
      <c r="G425" t="s">
        <v>594</v>
      </c>
      <c r="J425" t="s">
        <v>605</v>
      </c>
      <c r="K425">
        <f t="shared" si="6"/>
        <v>-17601</v>
      </c>
    </row>
    <row r="426" spans="1:11" x14ac:dyDescent="0.45">
      <c r="A426" t="s">
        <v>150</v>
      </c>
      <c r="B426" t="s">
        <v>572</v>
      </c>
      <c r="D426" t="s">
        <v>583</v>
      </c>
      <c r="E426" t="s">
        <v>591</v>
      </c>
      <c r="F426">
        <v>3354</v>
      </c>
      <c r="G426" t="s">
        <v>593</v>
      </c>
      <c r="J426" t="s">
        <v>610</v>
      </c>
      <c r="K426">
        <f t="shared" si="6"/>
        <v>-3354</v>
      </c>
    </row>
    <row r="427" spans="1:11" x14ac:dyDescent="0.45">
      <c r="A427" t="s">
        <v>206</v>
      </c>
      <c r="B427" t="s">
        <v>572</v>
      </c>
      <c r="D427" t="s">
        <v>582</v>
      </c>
      <c r="E427" t="s">
        <v>591</v>
      </c>
      <c r="F427">
        <v>11447</v>
      </c>
      <c r="G427" t="s">
        <v>593</v>
      </c>
      <c r="J427" t="s">
        <v>612</v>
      </c>
      <c r="K427">
        <f t="shared" si="6"/>
        <v>-11447</v>
      </c>
    </row>
    <row r="428" spans="1:11" x14ac:dyDescent="0.45">
      <c r="A428" t="s">
        <v>196</v>
      </c>
      <c r="B428" t="s">
        <v>572</v>
      </c>
      <c r="D428" t="s">
        <v>584</v>
      </c>
      <c r="E428" t="s">
        <v>591</v>
      </c>
      <c r="F428">
        <v>3266</v>
      </c>
      <c r="G428" t="s">
        <v>593</v>
      </c>
      <c r="J428" t="s">
        <v>613</v>
      </c>
      <c r="K428">
        <f t="shared" si="6"/>
        <v>-3266</v>
      </c>
    </row>
    <row r="429" spans="1:11" x14ac:dyDescent="0.45">
      <c r="A429" t="s">
        <v>196</v>
      </c>
      <c r="B429" t="s">
        <v>572</v>
      </c>
      <c r="C429" t="s">
        <v>580</v>
      </c>
      <c r="E429" t="s">
        <v>590</v>
      </c>
      <c r="F429">
        <v>129327</v>
      </c>
      <c r="G429" t="s">
        <v>596</v>
      </c>
      <c r="J429" t="s">
        <v>611</v>
      </c>
      <c r="K429">
        <f t="shared" si="6"/>
        <v>129327</v>
      </c>
    </row>
    <row r="430" spans="1:11" x14ac:dyDescent="0.45">
      <c r="A430" t="s">
        <v>196</v>
      </c>
      <c r="B430" t="s">
        <v>572</v>
      </c>
      <c r="D430" t="s">
        <v>587</v>
      </c>
      <c r="E430" t="s">
        <v>591</v>
      </c>
      <c r="F430">
        <v>2282</v>
      </c>
      <c r="G430" t="s">
        <v>594</v>
      </c>
      <c r="J430" t="s">
        <v>613</v>
      </c>
      <c r="K430">
        <f t="shared" si="6"/>
        <v>-2282</v>
      </c>
    </row>
    <row r="431" spans="1:11" x14ac:dyDescent="0.45">
      <c r="A431" t="s">
        <v>291</v>
      </c>
      <c r="B431" t="s">
        <v>572</v>
      </c>
      <c r="D431" t="s">
        <v>583</v>
      </c>
      <c r="E431" t="s">
        <v>591</v>
      </c>
      <c r="F431">
        <v>6981</v>
      </c>
      <c r="G431" t="s">
        <v>595</v>
      </c>
      <c r="J431" t="s">
        <v>607</v>
      </c>
      <c r="K431">
        <f t="shared" si="6"/>
        <v>-6981</v>
      </c>
    </row>
    <row r="432" spans="1:11" x14ac:dyDescent="0.45">
      <c r="A432" t="s">
        <v>24</v>
      </c>
      <c r="B432" t="s">
        <v>572</v>
      </c>
      <c r="C432" t="s">
        <v>579</v>
      </c>
      <c r="E432" t="s">
        <v>590</v>
      </c>
      <c r="F432">
        <v>118712</v>
      </c>
      <c r="G432" t="s">
        <v>598</v>
      </c>
      <c r="J432" t="s">
        <v>613</v>
      </c>
      <c r="K432">
        <f t="shared" si="6"/>
        <v>118712</v>
      </c>
    </row>
    <row r="433" spans="1:11" x14ac:dyDescent="0.45">
      <c r="A433" t="s">
        <v>519</v>
      </c>
      <c r="B433" t="s">
        <v>572</v>
      </c>
      <c r="D433" t="s">
        <v>588</v>
      </c>
      <c r="E433" t="s">
        <v>591</v>
      </c>
      <c r="F433">
        <v>8962</v>
      </c>
      <c r="G433" t="s">
        <v>597</v>
      </c>
      <c r="J433" t="s">
        <v>606</v>
      </c>
      <c r="K433">
        <f t="shared" si="6"/>
        <v>-8962</v>
      </c>
    </row>
    <row r="434" spans="1:11" x14ac:dyDescent="0.45">
      <c r="A434" t="s">
        <v>519</v>
      </c>
      <c r="B434" t="s">
        <v>572</v>
      </c>
      <c r="D434" t="s">
        <v>584</v>
      </c>
      <c r="E434" t="s">
        <v>591</v>
      </c>
      <c r="F434">
        <v>2255</v>
      </c>
      <c r="G434" t="s">
        <v>597</v>
      </c>
      <c r="J434" t="s">
        <v>608</v>
      </c>
      <c r="K434">
        <f t="shared" si="6"/>
        <v>-2255</v>
      </c>
    </row>
    <row r="435" spans="1:11" x14ac:dyDescent="0.45">
      <c r="A435" t="s">
        <v>519</v>
      </c>
      <c r="B435" t="s">
        <v>572</v>
      </c>
      <c r="D435" t="s">
        <v>582</v>
      </c>
      <c r="E435" t="s">
        <v>591</v>
      </c>
      <c r="F435">
        <v>20217</v>
      </c>
      <c r="G435" t="s">
        <v>593</v>
      </c>
      <c r="J435" t="s">
        <v>607</v>
      </c>
      <c r="K435">
        <f t="shared" si="6"/>
        <v>-20217</v>
      </c>
    </row>
    <row r="436" spans="1:11" x14ac:dyDescent="0.45">
      <c r="A436" t="s">
        <v>269</v>
      </c>
      <c r="B436" t="s">
        <v>572</v>
      </c>
      <c r="D436" t="s">
        <v>589</v>
      </c>
      <c r="E436" t="s">
        <v>591</v>
      </c>
      <c r="F436">
        <v>31528</v>
      </c>
      <c r="G436" t="s">
        <v>598</v>
      </c>
      <c r="J436" t="s">
        <v>607</v>
      </c>
      <c r="K436">
        <f t="shared" si="6"/>
        <v>-31528</v>
      </c>
    </row>
    <row r="437" spans="1:11" x14ac:dyDescent="0.45">
      <c r="A437" t="s">
        <v>269</v>
      </c>
      <c r="B437" t="s">
        <v>572</v>
      </c>
      <c r="D437" t="s">
        <v>584</v>
      </c>
      <c r="E437" t="s">
        <v>591</v>
      </c>
      <c r="F437">
        <v>2557</v>
      </c>
      <c r="G437" t="s">
        <v>594</v>
      </c>
      <c r="J437" t="s">
        <v>608</v>
      </c>
      <c r="K437">
        <f t="shared" si="6"/>
        <v>-2557</v>
      </c>
    </row>
    <row r="438" spans="1:11" x14ac:dyDescent="0.45">
      <c r="A438" t="s">
        <v>269</v>
      </c>
      <c r="B438" t="s">
        <v>572</v>
      </c>
      <c r="D438" t="s">
        <v>582</v>
      </c>
      <c r="E438" t="s">
        <v>591</v>
      </c>
      <c r="F438">
        <v>8340</v>
      </c>
      <c r="G438" t="s">
        <v>596</v>
      </c>
      <c r="J438" t="s">
        <v>613</v>
      </c>
      <c r="K438">
        <f t="shared" si="6"/>
        <v>-8340</v>
      </c>
    </row>
    <row r="439" spans="1:11" x14ac:dyDescent="0.45">
      <c r="A439" t="s">
        <v>269</v>
      </c>
      <c r="B439" t="s">
        <v>572</v>
      </c>
      <c r="C439" t="s">
        <v>577</v>
      </c>
      <c r="E439" t="s">
        <v>590</v>
      </c>
      <c r="F439">
        <v>163997</v>
      </c>
      <c r="G439" t="s">
        <v>595</v>
      </c>
      <c r="J439" t="s">
        <v>611</v>
      </c>
      <c r="K439">
        <f t="shared" si="6"/>
        <v>163997</v>
      </c>
    </row>
    <row r="440" spans="1:11" x14ac:dyDescent="0.45">
      <c r="A440" t="s">
        <v>269</v>
      </c>
      <c r="B440" t="s">
        <v>572</v>
      </c>
      <c r="E440" t="s">
        <v>592</v>
      </c>
      <c r="F440">
        <v>46523</v>
      </c>
      <c r="G440" t="s">
        <v>595</v>
      </c>
      <c r="H440" t="s">
        <v>603</v>
      </c>
      <c r="I440">
        <v>19.64</v>
      </c>
      <c r="J440" t="s">
        <v>605</v>
      </c>
      <c r="K440">
        <f t="shared" si="6"/>
        <v>-46523</v>
      </c>
    </row>
    <row r="441" spans="1:11" x14ac:dyDescent="0.45">
      <c r="A441" t="s">
        <v>422</v>
      </c>
      <c r="B441" t="s">
        <v>572</v>
      </c>
      <c r="E441" t="s">
        <v>592</v>
      </c>
      <c r="F441">
        <v>48026</v>
      </c>
      <c r="G441" t="s">
        <v>594</v>
      </c>
      <c r="H441" t="s">
        <v>603</v>
      </c>
      <c r="I441">
        <v>24.3</v>
      </c>
      <c r="J441" t="s">
        <v>611</v>
      </c>
      <c r="K441">
        <f t="shared" si="6"/>
        <v>-48026</v>
      </c>
    </row>
    <row r="442" spans="1:11" x14ac:dyDescent="0.45">
      <c r="A442" t="s">
        <v>277</v>
      </c>
      <c r="B442" t="s">
        <v>572</v>
      </c>
      <c r="D442" t="s">
        <v>588</v>
      </c>
      <c r="E442" t="s">
        <v>591</v>
      </c>
      <c r="F442">
        <v>7032</v>
      </c>
      <c r="G442" t="s">
        <v>593</v>
      </c>
      <c r="J442" t="s">
        <v>611</v>
      </c>
      <c r="K442">
        <f t="shared" si="6"/>
        <v>-7032</v>
      </c>
    </row>
    <row r="443" spans="1:11" x14ac:dyDescent="0.45">
      <c r="A443" t="s">
        <v>277</v>
      </c>
      <c r="B443" t="s">
        <v>572</v>
      </c>
      <c r="C443" t="s">
        <v>576</v>
      </c>
      <c r="E443" t="s">
        <v>590</v>
      </c>
      <c r="F443">
        <v>93442</v>
      </c>
      <c r="G443" t="s">
        <v>597</v>
      </c>
      <c r="J443" t="s">
        <v>611</v>
      </c>
      <c r="K443">
        <f t="shared" si="6"/>
        <v>93442</v>
      </c>
    </row>
    <row r="444" spans="1:11" x14ac:dyDescent="0.45">
      <c r="A444" t="s">
        <v>277</v>
      </c>
      <c r="B444" t="s">
        <v>572</v>
      </c>
      <c r="C444" t="s">
        <v>581</v>
      </c>
      <c r="E444" t="s">
        <v>590</v>
      </c>
      <c r="F444">
        <v>45168</v>
      </c>
      <c r="G444" t="s">
        <v>594</v>
      </c>
      <c r="J444" t="s">
        <v>611</v>
      </c>
      <c r="K444">
        <f t="shared" si="6"/>
        <v>45168</v>
      </c>
    </row>
    <row r="445" spans="1:11" x14ac:dyDescent="0.45">
      <c r="A445" t="s">
        <v>277</v>
      </c>
      <c r="B445" t="s">
        <v>572</v>
      </c>
      <c r="D445" t="s">
        <v>587</v>
      </c>
      <c r="E445" t="s">
        <v>591</v>
      </c>
      <c r="F445">
        <v>3470</v>
      </c>
      <c r="G445" t="s">
        <v>596</v>
      </c>
      <c r="J445" t="s">
        <v>606</v>
      </c>
      <c r="K445">
        <f t="shared" si="6"/>
        <v>-3470</v>
      </c>
    </row>
    <row r="446" spans="1:11" x14ac:dyDescent="0.45">
      <c r="A446" t="s">
        <v>277</v>
      </c>
      <c r="B446" t="s">
        <v>572</v>
      </c>
      <c r="E446" t="s">
        <v>592</v>
      </c>
      <c r="F446">
        <v>58903</v>
      </c>
      <c r="G446" t="s">
        <v>598</v>
      </c>
      <c r="H446" t="s">
        <v>602</v>
      </c>
      <c r="I446">
        <v>-1.96</v>
      </c>
      <c r="J446" t="s">
        <v>609</v>
      </c>
      <c r="K446">
        <f t="shared" si="6"/>
        <v>-58903</v>
      </c>
    </row>
    <row r="447" spans="1:11" x14ac:dyDescent="0.45">
      <c r="A447" t="s">
        <v>445</v>
      </c>
      <c r="B447" t="s">
        <v>572</v>
      </c>
      <c r="C447" t="s">
        <v>579</v>
      </c>
      <c r="E447" t="s">
        <v>590</v>
      </c>
      <c r="F447">
        <v>173591</v>
      </c>
      <c r="G447" t="s">
        <v>598</v>
      </c>
      <c r="J447" t="s">
        <v>610</v>
      </c>
      <c r="K447">
        <f t="shared" si="6"/>
        <v>173591</v>
      </c>
    </row>
    <row r="448" spans="1:11" x14ac:dyDescent="0.45">
      <c r="A448" t="s">
        <v>445</v>
      </c>
      <c r="B448" t="s">
        <v>572</v>
      </c>
      <c r="D448" t="s">
        <v>582</v>
      </c>
      <c r="E448" t="s">
        <v>591</v>
      </c>
      <c r="F448">
        <v>18970</v>
      </c>
      <c r="G448" t="s">
        <v>597</v>
      </c>
      <c r="J448" t="s">
        <v>607</v>
      </c>
      <c r="K448">
        <f t="shared" si="6"/>
        <v>-18970</v>
      </c>
    </row>
    <row r="449" spans="1:11" x14ac:dyDescent="0.45">
      <c r="A449" t="s">
        <v>329</v>
      </c>
      <c r="B449" t="s">
        <v>572</v>
      </c>
      <c r="D449" t="s">
        <v>583</v>
      </c>
      <c r="E449" t="s">
        <v>591</v>
      </c>
      <c r="F449">
        <v>15578</v>
      </c>
      <c r="G449" t="s">
        <v>597</v>
      </c>
      <c r="J449" t="s">
        <v>611</v>
      </c>
      <c r="K449">
        <f t="shared" si="6"/>
        <v>-15578</v>
      </c>
    </row>
    <row r="450" spans="1:11" x14ac:dyDescent="0.45">
      <c r="A450" t="s">
        <v>222</v>
      </c>
      <c r="B450" t="s">
        <v>572</v>
      </c>
      <c r="E450" t="s">
        <v>592</v>
      </c>
      <c r="F450">
        <v>42436</v>
      </c>
      <c r="G450" t="s">
        <v>594</v>
      </c>
      <c r="H450" t="s">
        <v>603</v>
      </c>
      <c r="I450">
        <v>-8.51</v>
      </c>
      <c r="J450" t="s">
        <v>613</v>
      </c>
      <c r="K450">
        <f t="shared" ref="K450:K513" si="7">IF(E450= "Income", F450, -F450)</f>
        <v>-42436</v>
      </c>
    </row>
    <row r="451" spans="1:11" x14ac:dyDescent="0.45">
      <c r="A451" t="s">
        <v>307</v>
      </c>
      <c r="B451" t="s">
        <v>572</v>
      </c>
      <c r="E451" t="s">
        <v>592</v>
      </c>
      <c r="F451">
        <v>19090</v>
      </c>
      <c r="G451" t="s">
        <v>595</v>
      </c>
      <c r="H451" t="s">
        <v>599</v>
      </c>
      <c r="I451">
        <v>1.49</v>
      </c>
      <c r="J451" t="s">
        <v>609</v>
      </c>
      <c r="K451">
        <f t="shared" si="7"/>
        <v>-19090</v>
      </c>
    </row>
    <row r="452" spans="1:11" x14ac:dyDescent="0.45">
      <c r="A452" t="s">
        <v>307</v>
      </c>
      <c r="B452" t="s">
        <v>572</v>
      </c>
      <c r="E452" t="s">
        <v>592</v>
      </c>
      <c r="F452">
        <v>10480</v>
      </c>
      <c r="G452" t="s">
        <v>597</v>
      </c>
      <c r="H452" t="s">
        <v>601</v>
      </c>
      <c r="I452">
        <v>9.6300000000000008</v>
      </c>
      <c r="J452" t="s">
        <v>610</v>
      </c>
      <c r="K452">
        <f t="shared" si="7"/>
        <v>-10480</v>
      </c>
    </row>
    <row r="453" spans="1:11" x14ac:dyDescent="0.45">
      <c r="A453" t="s">
        <v>307</v>
      </c>
      <c r="B453" t="s">
        <v>572</v>
      </c>
      <c r="D453" t="s">
        <v>585</v>
      </c>
      <c r="E453" t="s">
        <v>591</v>
      </c>
      <c r="F453">
        <v>2324</v>
      </c>
      <c r="G453" t="s">
        <v>594</v>
      </c>
      <c r="J453" t="s">
        <v>610</v>
      </c>
      <c r="K453">
        <f t="shared" si="7"/>
        <v>-2324</v>
      </c>
    </row>
    <row r="454" spans="1:11" x14ac:dyDescent="0.45">
      <c r="A454" t="s">
        <v>365</v>
      </c>
      <c r="B454" t="s">
        <v>572</v>
      </c>
      <c r="C454" t="s">
        <v>581</v>
      </c>
      <c r="E454" t="s">
        <v>590</v>
      </c>
      <c r="F454">
        <v>83774</v>
      </c>
      <c r="G454" t="s">
        <v>598</v>
      </c>
      <c r="J454" t="s">
        <v>613</v>
      </c>
      <c r="K454">
        <f t="shared" si="7"/>
        <v>83774</v>
      </c>
    </row>
    <row r="455" spans="1:11" x14ac:dyDescent="0.45">
      <c r="A455" t="s">
        <v>104</v>
      </c>
      <c r="B455" t="s">
        <v>572</v>
      </c>
      <c r="D455" t="s">
        <v>583</v>
      </c>
      <c r="E455" t="s">
        <v>591</v>
      </c>
      <c r="F455">
        <v>9417</v>
      </c>
      <c r="G455" t="s">
        <v>595</v>
      </c>
      <c r="J455" t="s">
        <v>609</v>
      </c>
      <c r="K455">
        <f t="shared" si="7"/>
        <v>-9417</v>
      </c>
    </row>
    <row r="456" spans="1:11" x14ac:dyDescent="0.45">
      <c r="A456" t="s">
        <v>104</v>
      </c>
      <c r="B456" t="s">
        <v>572</v>
      </c>
      <c r="C456" t="s">
        <v>578</v>
      </c>
      <c r="E456" t="s">
        <v>590</v>
      </c>
      <c r="F456">
        <v>133109</v>
      </c>
      <c r="G456" t="s">
        <v>595</v>
      </c>
      <c r="J456" t="s">
        <v>605</v>
      </c>
      <c r="K456">
        <f t="shared" si="7"/>
        <v>133109</v>
      </c>
    </row>
    <row r="457" spans="1:11" x14ac:dyDescent="0.45">
      <c r="A457" t="s">
        <v>104</v>
      </c>
      <c r="B457" t="s">
        <v>572</v>
      </c>
      <c r="D457" t="s">
        <v>586</v>
      </c>
      <c r="E457" t="s">
        <v>591</v>
      </c>
      <c r="F457">
        <v>5519</v>
      </c>
      <c r="G457" t="s">
        <v>594</v>
      </c>
      <c r="J457" t="s">
        <v>614</v>
      </c>
      <c r="K457">
        <f t="shared" si="7"/>
        <v>-5519</v>
      </c>
    </row>
    <row r="458" spans="1:11" x14ac:dyDescent="0.45">
      <c r="A458" t="s">
        <v>180</v>
      </c>
      <c r="B458" t="s">
        <v>570</v>
      </c>
      <c r="E458" t="s">
        <v>592</v>
      </c>
      <c r="F458">
        <v>19571</v>
      </c>
      <c r="G458" t="s">
        <v>595</v>
      </c>
      <c r="H458" t="s">
        <v>604</v>
      </c>
      <c r="I458">
        <v>12.32</v>
      </c>
      <c r="J458" t="s">
        <v>609</v>
      </c>
      <c r="K458">
        <f t="shared" si="7"/>
        <v>-19571</v>
      </c>
    </row>
    <row r="459" spans="1:11" x14ac:dyDescent="0.45">
      <c r="A459" t="s">
        <v>180</v>
      </c>
      <c r="B459" t="s">
        <v>570</v>
      </c>
      <c r="E459" t="s">
        <v>592</v>
      </c>
      <c r="F459">
        <v>20235</v>
      </c>
      <c r="G459" t="s">
        <v>598</v>
      </c>
      <c r="H459" t="s">
        <v>602</v>
      </c>
      <c r="I459">
        <v>14.25</v>
      </c>
      <c r="J459" t="s">
        <v>608</v>
      </c>
      <c r="K459">
        <f t="shared" si="7"/>
        <v>-20235</v>
      </c>
    </row>
    <row r="460" spans="1:11" x14ac:dyDescent="0.45">
      <c r="A460" t="s">
        <v>470</v>
      </c>
      <c r="B460" t="s">
        <v>570</v>
      </c>
      <c r="D460" t="s">
        <v>589</v>
      </c>
      <c r="E460" t="s">
        <v>591</v>
      </c>
      <c r="F460">
        <v>41750</v>
      </c>
      <c r="G460" t="s">
        <v>596</v>
      </c>
      <c r="J460" t="s">
        <v>610</v>
      </c>
      <c r="K460">
        <f t="shared" si="7"/>
        <v>-41750</v>
      </c>
    </row>
    <row r="461" spans="1:11" x14ac:dyDescent="0.45">
      <c r="A461" t="s">
        <v>470</v>
      </c>
      <c r="B461" t="s">
        <v>570</v>
      </c>
      <c r="D461" t="s">
        <v>584</v>
      </c>
      <c r="E461" t="s">
        <v>591</v>
      </c>
      <c r="F461">
        <v>5880</v>
      </c>
      <c r="G461" t="s">
        <v>597</v>
      </c>
      <c r="J461" t="s">
        <v>612</v>
      </c>
      <c r="K461">
        <f t="shared" si="7"/>
        <v>-5880</v>
      </c>
    </row>
    <row r="462" spans="1:11" x14ac:dyDescent="0.45">
      <c r="A462" t="s">
        <v>199</v>
      </c>
      <c r="B462" t="s">
        <v>570</v>
      </c>
      <c r="D462" t="s">
        <v>583</v>
      </c>
      <c r="E462" t="s">
        <v>591</v>
      </c>
      <c r="F462">
        <v>11886</v>
      </c>
      <c r="G462" t="s">
        <v>598</v>
      </c>
      <c r="J462" t="s">
        <v>614</v>
      </c>
      <c r="K462">
        <f t="shared" si="7"/>
        <v>-11886</v>
      </c>
    </row>
    <row r="463" spans="1:11" x14ac:dyDescent="0.45">
      <c r="A463" t="s">
        <v>199</v>
      </c>
      <c r="B463" t="s">
        <v>570</v>
      </c>
      <c r="D463" t="s">
        <v>587</v>
      </c>
      <c r="E463" t="s">
        <v>591</v>
      </c>
      <c r="F463">
        <v>1221</v>
      </c>
      <c r="G463" t="s">
        <v>598</v>
      </c>
      <c r="J463" t="s">
        <v>611</v>
      </c>
      <c r="K463">
        <f t="shared" si="7"/>
        <v>-1221</v>
      </c>
    </row>
    <row r="464" spans="1:11" x14ac:dyDescent="0.45">
      <c r="A464" t="s">
        <v>123</v>
      </c>
      <c r="B464" t="s">
        <v>570</v>
      </c>
      <c r="D464" t="s">
        <v>589</v>
      </c>
      <c r="E464" t="s">
        <v>591</v>
      </c>
      <c r="F464">
        <v>18754</v>
      </c>
      <c r="G464" t="s">
        <v>596</v>
      </c>
      <c r="J464" t="s">
        <v>609</v>
      </c>
      <c r="K464">
        <f t="shared" si="7"/>
        <v>-18754</v>
      </c>
    </row>
    <row r="465" spans="1:11" x14ac:dyDescent="0.45">
      <c r="A465" t="s">
        <v>76</v>
      </c>
      <c r="B465" t="s">
        <v>570</v>
      </c>
      <c r="E465" t="s">
        <v>592</v>
      </c>
      <c r="F465">
        <v>19118</v>
      </c>
      <c r="G465" t="s">
        <v>596</v>
      </c>
      <c r="H465" t="s">
        <v>599</v>
      </c>
      <c r="I465">
        <v>-7.32</v>
      </c>
      <c r="J465" t="s">
        <v>606</v>
      </c>
      <c r="K465">
        <f t="shared" si="7"/>
        <v>-19118</v>
      </c>
    </row>
    <row r="466" spans="1:11" x14ac:dyDescent="0.45">
      <c r="A466" t="s">
        <v>76</v>
      </c>
      <c r="B466" t="s">
        <v>570</v>
      </c>
      <c r="C466" t="s">
        <v>579</v>
      </c>
      <c r="E466" t="s">
        <v>590</v>
      </c>
      <c r="F466">
        <v>28274</v>
      </c>
      <c r="G466" t="s">
        <v>593</v>
      </c>
      <c r="J466" t="s">
        <v>608</v>
      </c>
      <c r="K466">
        <f t="shared" si="7"/>
        <v>28274</v>
      </c>
    </row>
    <row r="467" spans="1:11" x14ac:dyDescent="0.45">
      <c r="A467" t="s">
        <v>65</v>
      </c>
      <c r="B467" t="s">
        <v>570</v>
      </c>
      <c r="D467" t="s">
        <v>584</v>
      </c>
      <c r="E467" t="s">
        <v>591</v>
      </c>
      <c r="F467">
        <v>1523</v>
      </c>
      <c r="G467" t="s">
        <v>598</v>
      </c>
      <c r="J467" t="s">
        <v>613</v>
      </c>
      <c r="K467">
        <f t="shared" si="7"/>
        <v>-1523</v>
      </c>
    </row>
    <row r="468" spans="1:11" x14ac:dyDescent="0.45">
      <c r="A468" t="s">
        <v>65</v>
      </c>
      <c r="B468" t="s">
        <v>570</v>
      </c>
      <c r="C468" t="s">
        <v>580</v>
      </c>
      <c r="E468" t="s">
        <v>590</v>
      </c>
      <c r="F468">
        <v>163000</v>
      </c>
      <c r="G468" t="s">
        <v>593</v>
      </c>
      <c r="J468" t="s">
        <v>610</v>
      </c>
      <c r="K468">
        <f t="shared" si="7"/>
        <v>163000</v>
      </c>
    </row>
    <row r="469" spans="1:11" x14ac:dyDescent="0.45">
      <c r="A469" t="s">
        <v>401</v>
      </c>
      <c r="B469" t="s">
        <v>570</v>
      </c>
      <c r="C469" t="s">
        <v>575</v>
      </c>
      <c r="E469" t="s">
        <v>590</v>
      </c>
      <c r="F469">
        <v>113638</v>
      </c>
      <c r="G469" t="s">
        <v>598</v>
      </c>
      <c r="J469" t="s">
        <v>609</v>
      </c>
      <c r="K469">
        <f t="shared" si="7"/>
        <v>113638</v>
      </c>
    </row>
    <row r="470" spans="1:11" x14ac:dyDescent="0.45">
      <c r="A470" t="s">
        <v>116</v>
      </c>
      <c r="B470" t="s">
        <v>570</v>
      </c>
      <c r="C470" t="s">
        <v>577</v>
      </c>
      <c r="E470" t="s">
        <v>590</v>
      </c>
      <c r="F470">
        <v>100200</v>
      </c>
      <c r="G470" t="s">
        <v>593</v>
      </c>
      <c r="J470" t="s">
        <v>613</v>
      </c>
      <c r="K470">
        <f t="shared" si="7"/>
        <v>100200</v>
      </c>
    </row>
    <row r="471" spans="1:11" x14ac:dyDescent="0.45">
      <c r="A471" t="s">
        <v>178</v>
      </c>
      <c r="B471" t="s">
        <v>570</v>
      </c>
      <c r="E471" t="s">
        <v>592</v>
      </c>
      <c r="F471">
        <v>14869</v>
      </c>
      <c r="G471" t="s">
        <v>593</v>
      </c>
      <c r="H471" t="s">
        <v>602</v>
      </c>
      <c r="I471">
        <v>-8.9499999999999993</v>
      </c>
      <c r="J471" t="s">
        <v>614</v>
      </c>
      <c r="K471">
        <f t="shared" si="7"/>
        <v>-14869</v>
      </c>
    </row>
    <row r="472" spans="1:11" x14ac:dyDescent="0.45">
      <c r="A472" t="s">
        <v>203</v>
      </c>
      <c r="B472" t="s">
        <v>570</v>
      </c>
      <c r="D472" t="s">
        <v>585</v>
      </c>
      <c r="E472" t="s">
        <v>591</v>
      </c>
      <c r="F472">
        <v>2647</v>
      </c>
      <c r="G472" t="s">
        <v>597</v>
      </c>
      <c r="J472" t="s">
        <v>614</v>
      </c>
      <c r="K472">
        <f t="shared" si="7"/>
        <v>-2647</v>
      </c>
    </row>
    <row r="473" spans="1:11" x14ac:dyDescent="0.45">
      <c r="A473" t="s">
        <v>203</v>
      </c>
      <c r="B473" t="s">
        <v>570</v>
      </c>
      <c r="E473" t="s">
        <v>592</v>
      </c>
      <c r="F473">
        <v>65387</v>
      </c>
      <c r="G473" t="s">
        <v>594</v>
      </c>
      <c r="H473" t="s">
        <v>602</v>
      </c>
      <c r="I473">
        <v>23.55</v>
      </c>
      <c r="J473" t="s">
        <v>613</v>
      </c>
      <c r="K473">
        <f t="shared" si="7"/>
        <v>-65387</v>
      </c>
    </row>
    <row r="474" spans="1:11" x14ac:dyDescent="0.45">
      <c r="A474" t="s">
        <v>430</v>
      </c>
      <c r="B474" t="s">
        <v>570</v>
      </c>
      <c r="C474" t="s">
        <v>579</v>
      </c>
      <c r="E474" t="s">
        <v>590</v>
      </c>
      <c r="F474">
        <v>57180</v>
      </c>
      <c r="G474" t="s">
        <v>598</v>
      </c>
      <c r="J474" t="s">
        <v>610</v>
      </c>
      <c r="K474">
        <f t="shared" si="7"/>
        <v>57180</v>
      </c>
    </row>
    <row r="475" spans="1:11" x14ac:dyDescent="0.45">
      <c r="A475" t="s">
        <v>270</v>
      </c>
      <c r="B475" t="s">
        <v>570</v>
      </c>
      <c r="C475" t="s">
        <v>577</v>
      </c>
      <c r="E475" t="s">
        <v>590</v>
      </c>
      <c r="F475">
        <v>159520</v>
      </c>
      <c r="G475" t="s">
        <v>598</v>
      </c>
      <c r="J475" t="s">
        <v>608</v>
      </c>
      <c r="K475">
        <f t="shared" si="7"/>
        <v>159520</v>
      </c>
    </row>
    <row r="476" spans="1:11" x14ac:dyDescent="0.45">
      <c r="A476" t="s">
        <v>270</v>
      </c>
      <c r="B476" t="s">
        <v>570</v>
      </c>
      <c r="D476" t="s">
        <v>587</v>
      </c>
      <c r="E476" t="s">
        <v>591</v>
      </c>
      <c r="F476">
        <v>432</v>
      </c>
      <c r="G476" t="s">
        <v>595</v>
      </c>
      <c r="J476" t="s">
        <v>606</v>
      </c>
      <c r="K476">
        <f t="shared" si="7"/>
        <v>-432</v>
      </c>
    </row>
    <row r="477" spans="1:11" x14ac:dyDescent="0.45">
      <c r="A477" t="s">
        <v>394</v>
      </c>
      <c r="B477" t="s">
        <v>570</v>
      </c>
      <c r="D477" t="s">
        <v>584</v>
      </c>
      <c r="E477" t="s">
        <v>591</v>
      </c>
      <c r="F477">
        <v>1567</v>
      </c>
      <c r="G477" t="s">
        <v>596</v>
      </c>
      <c r="J477" t="s">
        <v>612</v>
      </c>
      <c r="K477">
        <f t="shared" si="7"/>
        <v>-1567</v>
      </c>
    </row>
    <row r="478" spans="1:11" x14ac:dyDescent="0.45">
      <c r="A478" t="s">
        <v>361</v>
      </c>
      <c r="B478" t="s">
        <v>570</v>
      </c>
      <c r="D478" t="s">
        <v>589</v>
      </c>
      <c r="E478" t="s">
        <v>591</v>
      </c>
      <c r="F478">
        <v>52397</v>
      </c>
      <c r="G478" t="s">
        <v>593</v>
      </c>
      <c r="J478" t="s">
        <v>607</v>
      </c>
      <c r="K478">
        <f t="shared" si="7"/>
        <v>-52397</v>
      </c>
    </row>
    <row r="479" spans="1:11" x14ac:dyDescent="0.45">
      <c r="A479" t="s">
        <v>361</v>
      </c>
      <c r="B479" t="s">
        <v>570</v>
      </c>
      <c r="E479" t="s">
        <v>592</v>
      </c>
      <c r="F479">
        <v>59594</v>
      </c>
      <c r="G479" t="s">
        <v>594</v>
      </c>
      <c r="H479" t="s">
        <v>602</v>
      </c>
      <c r="I479">
        <v>25</v>
      </c>
      <c r="J479" t="s">
        <v>605</v>
      </c>
      <c r="K479">
        <f t="shared" si="7"/>
        <v>-59594</v>
      </c>
    </row>
    <row r="480" spans="1:11" x14ac:dyDescent="0.45">
      <c r="A480" t="s">
        <v>448</v>
      </c>
      <c r="B480" t="s">
        <v>570</v>
      </c>
      <c r="D480" t="s">
        <v>584</v>
      </c>
      <c r="E480" t="s">
        <v>591</v>
      </c>
      <c r="F480">
        <v>6335</v>
      </c>
      <c r="G480" t="s">
        <v>598</v>
      </c>
      <c r="J480" t="s">
        <v>610</v>
      </c>
      <c r="K480">
        <f t="shared" si="7"/>
        <v>-6335</v>
      </c>
    </row>
    <row r="481" spans="1:11" x14ac:dyDescent="0.45">
      <c r="A481" t="s">
        <v>448</v>
      </c>
      <c r="B481" t="s">
        <v>570</v>
      </c>
      <c r="D481" t="s">
        <v>589</v>
      </c>
      <c r="E481" t="s">
        <v>591</v>
      </c>
      <c r="F481">
        <v>41840</v>
      </c>
      <c r="G481" t="s">
        <v>593</v>
      </c>
      <c r="J481" t="s">
        <v>613</v>
      </c>
      <c r="K481">
        <f t="shared" si="7"/>
        <v>-41840</v>
      </c>
    </row>
    <row r="482" spans="1:11" x14ac:dyDescent="0.45">
      <c r="A482" t="s">
        <v>390</v>
      </c>
      <c r="B482" t="s">
        <v>570</v>
      </c>
      <c r="E482" t="s">
        <v>592</v>
      </c>
      <c r="F482">
        <v>5581</v>
      </c>
      <c r="G482" t="s">
        <v>598</v>
      </c>
      <c r="H482" t="s">
        <v>601</v>
      </c>
      <c r="I482">
        <v>-4.3499999999999996</v>
      </c>
      <c r="J482" t="s">
        <v>610</v>
      </c>
      <c r="K482">
        <f t="shared" si="7"/>
        <v>-5581</v>
      </c>
    </row>
    <row r="483" spans="1:11" x14ac:dyDescent="0.45">
      <c r="A483" t="s">
        <v>349</v>
      </c>
      <c r="B483" t="s">
        <v>570</v>
      </c>
      <c r="D483" t="s">
        <v>588</v>
      </c>
      <c r="E483" t="s">
        <v>591</v>
      </c>
      <c r="F483">
        <v>6811</v>
      </c>
      <c r="G483" t="s">
        <v>594</v>
      </c>
      <c r="J483" t="s">
        <v>609</v>
      </c>
      <c r="K483">
        <f t="shared" si="7"/>
        <v>-6811</v>
      </c>
    </row>
    <row r="484" spans="1:11" x14ac:dyDescent="0.45">
      <c r="A484" t="s">
        <v>20</v>
      </c>
      <c r="B484" t="s">
        <v>570</v>
      </c>
      <c r="C484" t="s">
        <v>578</v>
      </c>
      <c r="E484" t="s">
        <v>590</v>
      </c>
      <c r="F484">
        <v>33717</v>
      </c>
      <c r="G484" t="s">
        <v>597</v>
      </c>
      <c r="J484" t="s">
        <v>612</v>
      </c>
      <c r="K484">
        <f t="shared" si="7"/>
        <v>33717</v>
      </c>
    </row>
    <row r="485" spans="1:11" x14ac:dyDescent="0.45">
      <c r="A485" t="s">
        <v>20</v>
      </c>
      <c r="B485" t="s">
        <v>570</v>
      </c>
      <c r="E485" t="s">
        <v>592</v>
      </c>
      <c r="F485">
        <v>18946</v>
      </c>
      <c r="G485" t="s">
        <v>598</v>
      </c>
      <c r="H485" t="s">
        <v>601</v>
      </c>
      <c r="I485">
        <v>7.45</v>
      </c>
      <c r="J485" t="s">
        <v>610</v>
      </c>
      <c r="K485">
        <f t="shared" si="7"/>
        <v>-18946</v>
      </c>
    </row>
    <row r="486" spans="1:11" x14ac:dyDescent="0.45">
      <c r="A486" t="s">
        <v>345</v>
      </c>
      <c r="B486" t="s">
        <v>570</v>
      </c>
      <c r="D486" t="s">
        <v>583</v>
      </c>
      <c r="E486" t="s">
        <v>591</v>
      </c>
      <c r="F486">
        <v>14450</v>
      </c>
      <c r="G486" t="s">
        <v>593</v>
      </c>
      <c r="J486" t="s">
        <v>608</v>
      </c>
      <c r="K486">
        <f t="shared" si="7"/>
        <v>-14450</v>
      </c>
    </row>
    <row r="487" spans="1:11" x14ac:dyDescent="0.45">
      <c r="A487" t="s">
        <v>345</v>
      </c>
      <c r="B487" t="s">
        <v>570</v>
      </c>
      <c r="C487" t="s">
        <v>578</v>
      </c>
      <c r="E487" t="s">
        <v>590</v>
      </c>
      <c r="F487">
        <v>111228</v>
      </c>
      <c r="G487" t="s">
        <v>597</v>
      </c>
      <c r="J487" t="s">
        <v>605</v>
      </c>
      <c r="K487">
        <f t="shared" si="7"/>
        <v>111228</v>
      </c>
    </row>
    <row r="488" spans="1:11" x14ac:dyDescent="0.45">
      <c r="A488" t="s">
        <v>246</v>
      </c>
      <c r="B488" t="s">
        <v>570</v>
      </c>
      <c r="D488" t="s">
        <v>588</v>
      </c>
      <c r="E488" t="s">
        <v>591</v>
      </c>
      <c r="F488">
        <v>4450</v>
      </c>
      <c r="G488" t="s">
        <v>598</v>
      </c>
      <c r="J488" t="s">
        <v>610</v>
      </c>
      <c r="K488">
        <f t="shared" si="7"/>
        <v>-4450</v>
      </c>
    </row>
    <row r="489" spans="1:11" x14ac:dyDescent="0.45">
      <c r="A489" t="s">
        <v>246</v>
      </c>
      <c r="B489" t="s">
        <v>570</v>
      </c>
      <c r="C489" t="s">
        <v>576</v>
      </c>
      <c r="E489" t="s">
        <v>590</v>
      </c>
      <c r="F489">
        <v>60967</v>
      </c>
      <c r="G489" t="s">
        <v>595</v>
      </c>
      <c r="J489" t="s">
        <v>609</v>
      </c>
      <c r="K489">
        <f t="shared" si="7"/>
        <v>60967</v>
      </c>
    </row>
    <row r="490" spans="1:11" x14ac:dyDescent="0.45">
      <c r="A490" t="s">
        <v>246</v>
      </c>
      <c r="B490" t="s">
        <v>570</v>
      </c>
      <c r="C490" t="s">
        <v>575</v>
      </c>
      <c r="E490" t="s">
        <v>590</v>
      </c>
      <c r="F490">
        <v>76481</v>
      </c>
      <c r="G490" t="s">
        <v>594</v>
      </c>
      <c r="J490" t="s">
        <v>609</v>
      </c>
      <c r="K490">
        <f t="shared" si="7"/>
        <v>76481</v>
      </c>
    </row>
    <row r="491" spans="1:11" x14ac:dyDescent="0.45">
      <c r="A491" t="s">
        <v>188</v>
      </c>
      <c r="B491" t="s">
        <v>568</v>
      </c>
      <c r="D491" t="s">
        <v>586</v>
      </c>
      <c r="E491" t="s">
        <v>591</v>
      </c>
      <c r="F491">
        <v>19795</v>
      </c>
      <c r="G491" t="s">
        <v>596</v>
      </c>
      <c r="J491" t="s">
        <v>606</v>
      </c>
      <c r="K491">
        <f t="shared" si="7"/>
        <v>-19795</v>
      </c>
    </row>
    <row r="492" spans="1:11" x14ac:dyDescent="0.45">
      <c r="A492" t="s">
        <v>188</v>
      </c>
      <c r="B492" t="s">
        <v>568</v>
      </c>
      <c r="D492" t="s">
        <v>583</v>
      </c>
      <c r="E492" t="s">
        <v>591</v>
      </c>
      <c r="F492">
        <v>3711</v>
      </c>
      <c r="G492" t="s">
        <v>593</v>
      </c>
      <c r="J492" t="s">
        <v>612</v>
      </c>
      <c r="K492">
        <f t="shared" si="7"/>
        <v>-3711</v>
      </c>
    </row>
    <row r="493" spans="1:11" x14ac:dyDescent="0.45">
      <c r="A493" t="s">
        <v>368</v>
      </c>
      <c r="B493" t="s">
        <v>568</v>
      </c>
      <c r="E493" t="s">
        <v>592</v>
      </c>
      <c r="F493">
        <v>22895</v>
      </c>
      <c r="G493" t="s">
        <v>595</v>
      </c>
      <c r="H493" t="s">
        <v>602</v>
      </c>
      <c r="I493">
        <v>-6.61</v>
      </c>
      <c r="J493" t="s">
        <v>607</v>
      </c>
      <c r="K493">
        <f t="shared" si="7"/>
        <v>-22895</v>
      </c>
    </row>
    <row r="494" spans="1:11" x14ac:dyDescent="0.45">
      <c r="A494" t="s">
        <v>368</v>
      </c>
      <c r="B494" t="s">
        <v>568</v>
      </c>
      <c r="E494" t="s">
        <v>592</v>
      </c>
      <c r="F494">
        <v>42377</v>
      </c>
      <c r="G494" t="s">
        <v>598</v>
      </c>
      <c r="H494" t="s">
        <v>599</v>
      </c>
      <c r="I494">
        <v>22.33</v>
      </c>
      <c r="J494" t="s">
        <v>607</v>
      </c>
      <c r="K494">
        <f t="shared" si="7"/>
        <v>-42377</v>
      </c>
    </row>
    <row r="495" spans="1:11" x14ac:dyDescent="0.45">
      <c r="A495" t="s">
        <v>368</v>
      </c>
      <c r="B495" t="s">
        <v>568</v>
      </c>
      <c r="D495" t="s">
        <v>589</v>
      </c>
      <c r="E495" t="s">
        <v>591</v>
      </c>
      <c r="F495">
        <v>37154</v>
      </c>
      <c r="G495" t="s">
        <v>594</v>
      </c>
      <c r="J495" t="s">
        <v>612</v>
      </c>
      <c r="K495">
        <f t="shared" si="7"/>
        <v>-37154</v>
      </c>
    </row>
    <row r="496" spans="1:11" x14ac:dyDescent="0.45">
      <c r="A496" t="s">
        <v>347</v>
      </c>
      <c r="B496" t="s">
        <v>568</v>
      </c>
      <c r="D496" t="s">
        <v>582</v>
      </c>
      <c r="E496" t="s">
        <v>591</v>
      </c>
      <c r="F496">
        <v>16683</v>
      </c>
      <c r="G496" t="s">
        <v>594</v>
      </c>
      <c r="J496" t="s">
        <v>612</v>
      </c>
      <c r="K496">
        <f t="shared" si="7"/>
        <v>-16683</v>
      </c>
    </row>
    <row r="497" spans="1:11" x14ac:dyDescent="0.45">
      <c r="A497" t="s">
        <v>347</v>
      </c>
      <c r="B497" t="s">
        <v>568</v>
      </c>
      <c r="C497" t="s">
        <v>581</v>
      </c>
      <c r="E497" t="s">
        <v>590</v>
      </c>
      <c r="F497">
        <v>56273</v>
      </c>
      <c r="G497" t="s">
        <v>594</v>
      </c>
      <c r="J497" t="s">
        <v>609</v>
      </c>
      <c r="K497">
        <f t="shared" si="7"/>
        <v>56273</v>
      </c>
    </row>
    <row r="498" spans="1:11" x14ac:dyDescent="0.45">
      <c r="A498" t="s">
        <v>347</v>
      </c>
      <c r="B498" t="s">
        <v>568</v>
      </c>
      <c r="D498" t="s">
        <v>584</v>
      </c>
      <c r="E498" t="s">
        <v>591</v>
      </c>
      <c r="F498">
        <v>3019</v>
      </c>
      <c r="G498" t="s">
        <v>594</v>
      </c>
      <c r="J498" t="s">
        <v>614</v>
      </c>
      <c r="K498">
        <f t="shared" si="7"/>
        <v>-3019</v>
      </c>
    </row>
    <row r="499" spans="1:11" x14ac:dyDescent="0.45">
      <c r="A499" t="s">
        <v>347</v>
      </c>
      <c r="B499" t="s">
        <v>568</v>
      </c>
      <c r="E499" t="s">
        <v>592</v>
      </c>
      <c r="F499">
        <v>57047</v>
      </c>
      <c r="G499" t="s">
        <v>594</v>
      </c>
      <c r="H499" t="s">
        <v>602</v>
      </c>
      <c r="I499">
        <v>-14.99</v>
      </c>
      <c r="J499" t="s">
        <v>609</v>
      </c>
      <c r="K499">
        <f t="shared" si="7"/>
        <v>-57047</v>
      </c>
    </row>
    <row r="500" spans="1:11" x14ac:dyDescent="0.45">
      <c r="A500" t="s">
        <v>127</v>
      </c>
      <c r="B500" t="s">
        <v>568</v>
      </c>
      <c r="C500" t="s">
        <v>581</v>
      </c>
      <c r="E500" t="s">
        <v>590</v>
      </c>
      <c r="F500">
        <v>155020</v>
      </c>
      <c r="G500" t="s">
        <v>593</v>
      </c>
      <c r="J500" t="s">
        <v>609</v>
      </c>
      <c r="K500">
        <f t="shared" si="7"/>
        <v>155020</v>
      </c>
    </row>
    <row r="501" spans="1:11" x14ac:dyDescent="0.45">
      <c r="A501" t="s">
        <v>266</v>
      </c>
      <c r="B501" t="s">
        <v>568</v>
      </c>
      <c r="D501" t="s">
        <v>582</v>
      </c>
      <c r="E501" t="s">
        <v>591</v>
      </c>
      <c r="F501">
        <v>21171</v>
      </c>
      <c r="G501" t="s">
        <v>593</v>
      </c>
      <c r="J501" t="s">
        <v>605</v>
      </c>
      <c r="K501">
        <f t="shared" si="7"/>
        <v>-21171</v>
      </c>
    </row>
    <row r="502" spans="1:11" x14ac:dyDescent="0.45">
      <c r="A502" t="s">
        <v>266</v>
      </c>
      <c r="B502" t="s">
        <v>568</v>
      </c>
      <c r="D502" t="s">
        <v>584</v>
      </c>
      <c r="E502" t="s">
        <v>591</v>
      </c>
      <c r="F502">
        <v>1733</v>
      </c>
      <c r="G502" t="s">
        <v>597</v>
      </c>
      <c r="J502" t="s">
        <v>609</v>
      </c>
      <c r="K502">
        <f t="shared" si="7"/>
        <v>-1733</v>
      </c>
    </row>
    <row r="503" spans="1:11" x14ac:dyDescent="0.45">
      <c r="A503" t="s">
        <v>185</v>
      </c>
      <c r="B503" t="s">
        <v>568</v>
      </c>
      <c r="C503" t="s">
        <v>575</v>
      </c>
      <c r="E503" t="s">
        <v>590</v>
      </c>
      <c r="F503">
        <v>111294</v>
      </c>
      <c r="G503" t="s">
        <v>597</v>
      </c>
      <c r="J503" t="s">
        <v>611</v>
      </c>
      <c r="K503">
        <f t="shared" si="7"/>
        <v>111294</v>
      </c>
    </row>
    <row r="504" spans="1:11" x14ac:dyDescent="0.45">
      <c r="A504" t="s">
        <v>185</v>
      </c>
      <c r="B504" t="s">
        <v>568</v>
      </c>
      <c r="D504" t="s">
        <v>586</v>
      </c>
      <c r="E504" t="s">
        <v>591</v>
      </c>
      <c r="F504">
        <v>11697</v>
      </c>
      <c r="G504" t="s">
        <v>595</v>
      </c>
      <c r="J504" t="s">
        <v>605</v>
      </c>
      <c r="K504">
        <f t="shared" si="7"/>
        <v>-11697</v>
      </c>
    </row>
    <row r="505" spans="1:11" x14ac:dyDescent="0.45">
      <c r="A505" t="s">
        <v>258</v>
      </c>
      <c r="B505" t="s">
        <v>568</v>
      </c>
      <c r="D505" t="s">
        <v>585</v>
      </c>
      <c r="E505" t="s">
        <v>591</v>
      </c>
      <c r="F505">
        <v>810</v>
      </c>
      <c r="G505" t="s">
        <v>593</v>
      </c>
      <c r="J505" t="s">
        <v>608</v>
      </c>
      <c r="K505">
        <f t="shared" si="7"/>
        <v>-810</v>
      </c>
    </row>
    <row r="506" spans="1:11" x14ac:dyDescent="0.45">
      <c r="A506" t="s">
        <v>258</v>
      </c>
      <c r="B506" t="s">
        <v>568</v>
      </c>
      <c r="D506" t="s">
        <v>586</v>
      </c>
      <c r="E506" t="s">
        <v>591</v>
      </c>
      <c r="F506">
        <v>11008</v>
      </c>
      <c r="G506" t="s">
        <v>598</v>
      </c>
      <c r="J506" t="s">
        <v>610</v>
      </c>
      <c r="K506">
        <f t="shared" si="7"/>
        <v>-11008</v>
      </c>
    </row>
    <row r="507" spans="1:11" x14ac:dyDescent="0.45">
      <c r="A507" t="s">
        <v>353</v>
      </c>
      <c r="B507" t="s">
        <v>568</v>
      </c>
      <c r="C507" t="s">
        <v>576</v>
      </c>
      <c r="E507" t="s">
        <v>590</v>
      </c>
      <c r="F507">
        <v>67376</v>
      </c>
      <c r="G507" t="s">
        <v>597</v>
      </c>
      <c r="J507" t="s">
        <v>607</v>
      </c>
      <c r="K507">
        <f t="shared" si="7"/>
        <v>67376</v>
      </c>
    </row>
    <row r="508" spans="1:11" x14ac:dyDescent="0.45">
      <c r="A508" t="s">
        <v>353</v>
      </c>
      <c r="B508" t="s">
        <v>568</v>
      </c>
      <c r="E508" t="s">
        <v>592</v>
      </c>
      <c r="F508">
        <v>24086</v>
      </c>
      <c r="G508" t="s">
        <v>595</v>
      </c>
      <c r="H508" t="s">
        <v>601</v>
      </c>
      <c r="I508">
        <v>25.5</v>
      </c>
      <c r="J508" t="s">
        <v>608</v>
      </c>
      <c r="K508">
        <f t="shared" si="7"/>
        <v>-24086</v>
      </c>
    </row>
    <row r="509" spans="1:11" x14ac:dyDescent="0.45">
      <c r="A509" t="s">
        <v>283</v>
      </c>
      <c r="B509" t="s">
        <v>568</v>
      </c>
      <c r="D509" t="s">
        <v>588</v>
      </c>
      <c r="E509" t="s">
        <v>591</v>
      </c>
      <c r="F509">
        <v>1241</v>
      </c>
      <c r="G509" t="s">
        <v>595</v>
      </c>
      <c r="J509" t="s">
        <v>606</v>
      </c>
      <c r="K509">
        <f t="shared" si="7"/>
        <v>-1241</v>
      </c>
    </row>
    <row r="510" spans="1:11" x14ac:dyDescent="0.45">
      <c r="A510" t="s">
        <v>254</v>
      </c>
      <c r="B510" t="s">
        <v>568</v>
      </c>
      <c r="E510" t="s">
        <v>592</v>
      </c>
      <c r="F510">
        <v>79919</v>
      </c>
      <c r="G510" t="s">
        <v>598</v>
      </c>
      <c r="H510" t="s">
        <v>600</v>
      </c>
      <c r="I510">
        <v>19.45</v>
      </c>
      <c r="J510" t="s">
        <v>614</v>
      </c>
      <c r="K510">
        <f t="shared" si="7"/>
        <v>-79919</v>
      </c>
    </row>
    <row r="511" spans="1:11" x14ac:dyDescent="0.45">
      <c r="A511" t="s">
        <v>254</v>
      </c>
      <c r="B511" t="s">
        <v>568</v>
      </c>
      <c r="D511" t="s">
        <v>586</v>
      </c>
      <c r="E511" t="s">
        <v>591</v>
      </c>
      <c r="F511">
        <v>4876</v>
      </c>
      <c r="G511" t="s">
        <v>595</v>
      </c>
      <c r="J511" t="s">
        <v>612</v>
      </c>
      <c r="K511">
        <f t="shared" si="7"/>
        <v>-4876</v>
      </c>
    </row>
    <row r="512" spans="1:11" x14ac:dyDescent="0.45">
      <c r="A512" t="s">
        <v>122</v>
      </c>
      <c r="B512" t="s">
        <v>568</v>
      </c>
      <c r="D512" t="s">
        <v>588</v>
      </c>
      <c r="E512" t="s">
        <v>591</v>
      </c>
      <c r="F512">
        <v>7471</v>
      </c>
      <c r="G512" t="s">
        <v>598</v>
      </c>
      <c r="J512" t="s">
        <v>607</v>
      </c>
      <c r="K512">
        <f t="shared" si="7"/>
        <v>-7471</v>
      </c>
    </row>
    <row r="513" spans="1:11" x14ac:dyDescent="0.45">
      <c r="A513" t="s">
        <v>122</v>
      </c>
      <c r="B513" t="s">
        <v>568</v>
      </c>
      <c r="E513" t="s">
        <v>592</v>
      </c>
      <c r="F513">
        <v>44248</v>
      </c>
      <c r="G513" t="s">
        <v>594</v>
      </c>
      <c r="H513" t="s">
        <v>599</v>
      </c>
      <c r="I513">
        <v>22.16</v>
      </c>
      <c r="J513" t="s">
        <v>608</v>
      </c>
      <c r="K513">
        <f t="shared" si="7"/>
        <v>-44248</v>
      </c>
    </row>
    <row r="514" spans="1:11" x14ac:dyDescent="0.45">
      <c r="A514" t="s">
        <v>435</v>
      </c>
      <c r="B514" t="s">
        <v>568</v>
      </c>
      <c r="C514" t="s">
        <v>581</v>
      </c>
      <c r="E514" t="s">
        <v>590</v>
      </c>
      <c r="F514">
        <v>84021</v>
      </c>
      <c r="G514" t="s">
        <v>595</v>
      </c>
      <c r="J514" t="s">
        <v>613</v>
      </c>
      <c r="K514">
        <f t="shared" ref="K514:K577" si="8">IF(E514= "Income", F514, -F514)</f>
        <v>84021</v>
      </c>
    </row>
    <row r="515" spans="1:11" x14ac:dyDescent="0.45">
      <c r="A515" t="s">
        <v>435</v>
      </c>
      <c r="B515" t="s">
        <v>568</v>
      </c>
      <c r="C515" t="s">
        <v>575</v>
      </c>
      <c r="E515" t="s">
        <v>590</v>
      </c>
      <c r="F515">
        <v>69204</v>
      </c>
      <c r="G515" t="s">
        <v>597</v>
      </c>
      <c r="J515" t="s">
        <v>611</v>
      </c>
      <c r="K515">
        <f t="shared" si="8"/>
        <v>69204</v>
      </c>
    </row>
    <row r="516" spans="1:11" x14ac:dyDescent="0.45">
      <c r="A516" t="s">
        <v>516</v>
      </c>
      <c r="B516" t="s">
        <v>568</v>
      </c>
      <c r="C516" t="s">
        <v>581</v>
      </c>
      <c r="E516" t="s">
        <v>590</v>
      </c>
      <c r="F516">
        <v>115748</v>
      </c>
      <c r="G516" t="s">
        <v>595</v>
      </c>
      <c r="J516" t="s">
        <v>608</v>
      </c>
      <c r="K516">
        <f t="shared" si="8"/>
        <v>115748</v>
      </c>
    </row>
    <row r="517" spans="1:11" x14ac:dyDescent="0.45">
      <c r="A517" t="s">
        <v>238</v>
      </c>
      <c r="B517" t="s">
        <v>568</v>
      </c>
      <c r="D517" t="s">
        <v>582</v>
      </c>
      <c r="E517" t="s">
        <v>591</v>
      </c>
      <c r="F517">
        <v>41810</v>
      </c>
      <c r="G517" t="s">
        <v>594</v>
      </c>
      <c r="J517" t="s">
        <v>609</v>
      </c>
      <c r="K517">
        <f t="shared" si="8"/>
        <v>-41810</v>
      </c>
    </row>
    <row r="518" spans="1:11" x14ac:dyDescent="0.45">
      <c r="A518" t="s">
        <v>238</v>
      </c>
      <c r="B518" t="s">
        <v>568</v>
      </c>
      <c r="D518" t="s">
        <v>589</v>
      </c>
      <c r="E518" t="s">
        <v>591</v>
      </c>
      <c r="F518">
        <v>59859</v>
      </c>
      <c r="G518" t="s">
        <v>597</v>
      </c>
      <c r="J518" t="s">
        <v>609</v>
      </c>
      <c r="K518">
        <f t="shared" si="8"/>
        <v>-59859</v>
      </c>
    </row>
    <row r="519" spans="1:11" x14ac:dyDescent="0.45">
      <c r="A519" t="s">
        <v>238</v>
      </c>
      <c r="B519" t="s">
        <v>568</v>
      </c>
      <c r="D519" t="s">
        <v>586</v>
      </c>
      <c r="E519" t="s">
        <v>591</v>
      </c>
      <c r="F519">
        <v>5667</v>
      </c>
      <c r="G519" t="s">
        <v>595</v>
      </c>
      <c r="J519" t="s">
        <v>610</v>
      </c>
      <c r="K519">
        <f t="shared" si="8"/>
        <v>-5667</v>
      </c>
    </row>
    <row r="520" spans="1:11" x14ac:dyDescent="0.45">
      <c r="A520" t="s">
        <v>238</v>
      </c>
      <c r="B520" t="s">
        <v>568</v>
      </c>
      <c r="D520" t="s">
        <v>583</v>
      </c>
      <c r="E520" t="s">
        <v>591</v>
      </c>
      <c r="F520">
        <v>10898</v>
      </c>
      <c r="G520" t="s">
        <v>597</v>
      </c>
      <c r="J520" t="s">
        <v>605</v>
      </c>
      <c r="K520">
        <f t="shared" si="8"/>
        <v>-10898</v>
      </c>
    </row>
    <row r="521" spans="1:11" x14ac:dyDescent="0.45">
      <c r="A521" t="s">
        <v>198</v>
      </c>
      <c r="B521" t="s">
        <v>568</v>
      </c>
      <c r="E521" t="s">
        <v>592</v>
      </c>
      <c r="F521">
        <v>25723</v>
      </c>
      <c r="G521" t="s">
        <v>597</v>
      </c>
      <c r="H521" t="s">
        <v>600</v>
      </c>
      <c r="I521">
        <v>10.220000000000001</v>
      </c>
      <c r="J521" t="s">
        <v>607</v>
      </c>
      <c r="K521">
        <f t="shared" si="8"/>
        <v>-25723</v>
      </c>
    </row>
    <row r="522" spans="1:11" x14ac:dyDescent="0.45">
      <c r="A522" t="s">
        <v>198</v>
      </c>
      <c r="B522" t="s">
        <v>568</v>
      </c>
      <c r="E522" t="s">
        <v>592</v>
      </c>
      <c r="F522">
        <v>32840</v>
      </c>
      <c r="G522" t="s">
        <v>595</v>
      </c>
      <c r="H522" t="s">
        <v>604</v>
      </c>
      <c r="I522">
        <v>2.23</v>
      </c>
      <c r="J522" t="s">
        <v>609</v>
      </c>
      <c r="K522">
        <f t="shared" si="8"/>
        <v>-32840</v>
      </c>
    </row>
    <row r="523" spans="1:11" x14ac:dyDescent="0.45">
      <c r="A523" t="s">
        <v>33</v>
      </c>
      <c r="B523" t="s">
        <v>568</v>
      </c>
      <c r="D523" t="s">
        <v>587</v>
      </c>
      <c r="E523" t="s">
        <v>591</v>
      </c>
      <c r="F523">
        <v>2603</v>
      </c>
      <c r="G523" t="s">
        <v>596</v>
      </c>
      <c r="J523" t="s">
        <v>613</v>
      </c>
      <c r="K523">
        <f t="shared" si="8"/>
        <v>-2603</v>
      </c>
    </row>
    <row r="524" spans="1:11" x14ac:dyDescent="0.45">
      <c r="A524" t="s">
        <v>33</v>
      </c>
      <c r="B524" t="s">
        <v>568</v>
      </c>
      <c r="C524" t="s">
        <v>575</v>
      </c>
      <c r="E524" t="s">
        <v>590</v>
      </c>
      <c r="F524">
        <v>176616</v>
      </c>
      <c r="G524" t="s">
        <v>595</v>
      </c>
      <c r="J524" t="s">
        <v>613</v>
      </c>
      <c r="K524">
        <f t="shared" si="8"/>
        <v>176616</v>
      </c>
    </row>
    <row r="525" spans="1:11" x14ac:dyDescent="0.45">
      <c r="A525" t="s">
        <v>315</v>
      </c>
      <c r="B525" t="s">
        <v>568</v>
      </c>
      <c r="E525" t="s">
        <v>592</v>
      </c>
      <c r="F525">
        <v>63790</v>
      </c>
      <c r="G525" t="s">
        <v>595</v>
      </c>
      <c r="H525" t="s">
        <v>602</v>
      </c>
      <c r="I525">
        <v>22.39</v>
      </c>
      <c r="J525" t="s">
        <v>614</v>
      </c>
      <c r="K525">
        <f t="shared" si="8"/>
        <v>-63790</v>
      </c>
    </row>
    <row r="526" spans="1:11" x14ac:dyDescent="0.45">
      <c r="A526" t="s">
        <v>377</v>
      </c>
      <c r="B526" t="s">
        <v>568</v>
      </c>
      <c r="D526" t="s">
        <v>582</v>
      </c>
      <c r="E526" t="s">
        <v>591</v>
      </c>
      <c r="F526">
        <v>34401</v>
      </c>
      <c r="G526" t="s">
        <v>597</v>
      </c>
      <c r="J526" t="s">
        <v>609</v>
      </c>
      <c r="K526">
        <f t="shared" si="8"/>
        <v>-34401</v>
      </c>
    </row>
    <row r="527" spans="1:11" x14ac:dyDescent="0.45">
      <c r="A527" t="s">
        <v>377</v>
      </c>
      <c r="B527" t="s">
        <v>568</v>
      </c>
      <c r="E527" t="s">
        <v>592</v>
      </c>
      <c r="F527">
        <v>18522</v>
      </c>
      <c r="G527" t="s">
        <v>597</v>
      </c>
      <c r="H527" t="s">
        <v>601</v>
      </c>
      <c r="I527">
        <v>11.79</v>
      </c>
      <c r="J527" t="s">
        <v>606</v>
      </c>
      <c r="K527">
        <f t="shared" si="8"/>
        <v>-18522</v>
      </c>
    </row>
    <row r="528" spans="1:11" x14ac:dyDescent="0.45">
      <c r="A528" t="s">
        <v>555</v>
      </c>
      <c r="B528" t="s">
        <v>568</v>
      </c>
      <c r="D528" t="s">
        <v>587</v>
      </c>
      <c r="E528" t="s">
        <v>591</v>
      </c>
      <c r="F528">
        <v>1196</v>
      </c>
      <c r="G528" t="s">
        <v>593</v>
      </c>
      <c r="J528" t="s">
        <v>606</v>
      </c>
      <c r="K528">
        <f t="shared" si="8"/>
        <v>-1196</v>
      </c>
    </row>
    <row r="529" spans="1:11" x14ac:dyDescent="0.45">
      <c r="A529" t="s">
        <v>50</v>
      </c>
      <c r="B529" t="s">
        <v>568</v>
      </c>
      <c r="C529" t="s">
        <v>579</v>
      </c>
      <c r="E529" t="s">
        <v>590</v>
      </c>
      <c r="F529">
        <v>84521</v>
      </c>
      <c r="G529" t="s">
        <v>595</v>
      </c>
      <c r="J529" t="s">
        <v>609</v>
      </c>
      <c r="K529">
        <f t="shared" si="8"/>
        <v>84521</v>
      </c>
    </row>
    <row r="530" spans="1:11" x14ac:dyDescent="0.45">
      <c r="A530" t="s">
        <v>50</v>
      </c>
      <c r="B530" t="s">
        <v>568</v>
      </c>
      <c r="D530" t="s">
        <v>587</v>
      </c>
      <c r="E530" t="s">
        <v>591</v>
      </c>
      <c r="F530">
        <v>2953</v>
      </c>
      <c r="G530" t="s">
        <v>598</v>
      </c>
      <c r="J530" t="s">
        <v>612</v>
      </c>
      <c r="K530">
        <f t="shared" si="8"/>
        <v>-2953</v>
      </c>
    </row>
    <row r="531" spans="1:11" x14ac:dyDescent="0.45">
      <c r="A531" t="s">
        <v>16</v>
      </c>
      <c r="B531" t="s">
        <v>568</v>
      </c>
      <c r="C531" t="s">
        <v>577</v>
      </c>
      <c r="E531" t="s">
        <v>590</v>
      </c>
      <c r="F531">
        <v>105165</v>
      </c>
      <c r="G531" t="s">
        <v>597</v>
      </c>
      <c r="J531" t="s">
        <v>609</v>
      </c>
      <c r="K531">
        <f t="shared" si="8"/>
        <v>105165</v>
      </c>
    </row>
    <row r="532" spans="1:11" x14ac:dyDescent="0.45">
      <c r="A532" t="s">
        <v>16</v>
      </c>
      <c r="B532" t="s">
        <v>568</v>
      </c>
      <c r="C532" t="s">
        <v>575</v>
      </c>
      <c r="E532" t="s">
        <v>590</v>
      </c>
      <c r="F532">
        <v>110638</v>
      </c>
      <c r="G532" t="s">
        <v>593</v>
      </c>
      <c r="J532" t="s">
        <v>611</v>
      </c>
      <c r="K532">
        <f t="shared" si="8"/>
        <v>110638</v>
      </c>
    </row>
    <row r="533" spans="1:11" x14ac:dyDescent="0.45">
      <c r="A533" t="s">
        <v>16</v>
      </c>
      <c r="B533" t="s">
        <v>568</v>
      </c>
      <c r="E533" t="s">
        <v>592</v>
      </c>
      <c r="F533">
        <v>95203</v>
      </c>
      <c r="G533" t="s">
        <v>595</v>
      </c>
      <c r="H533" t="s">
        <v>603</v>
      </c>
      <c r="I533">
        <v>23.16</v>
      </c>
      <c r="J533" t="s">
        <v>607</v>
      </c>
      <c r="K533">
        <f t="shared" si="8"/>
        <v>-95203</v>
      </c>
    </row>
    <row r="534" spans="1:11" x14ac:dyDescent="0.45">
      <c r="A534" t="s">
        <v>418</v>
      </c>
      <c r="B534" t="s">
        <v>568</v>
      </c>
      <c r="C534" t="s">
        <v>580</v>
      </c>
      <c r="E534" t="s">
        <v>590</v>
      </c>
      <c r="F534">
        <v>152839</v>
      </c>
      <c r="G534" t="s">
        <v>593</v>
      </c>
      <c r="J534" t="s">
        <v>607</v>
      </c>
      <c r="K534">
        <f t="shared" si="8"/>
        <v>152839</v>
      </c>
    </row>
    <row r="535" spans="1:11" x14ac:dyDescent="0.45">
      <c r="A535" t="s">
        <v>418</v>
      </c>
      <c r="B535" t="s">
        <v>568</v>
      </c>
      <c r="D535" t="s">
        <v>584</v>
      </c>
      <c r="E535" t="s">
        <v>591</v>
      </c>
      <c r="F535">
        <v>1568</v>
      </c>
      <c r="G535" t="s">
        <v>594</v>
      </c>
      <c r="J535" t="s">
        <v>606</v>
      </c>
      <c r="K535">
        <f t="shared" si="8"/>
        <v>-1568</v>
      </c>
    </row>
    <row r="536" spans="1:11" x14ac:dyDescent="0.45">
      <c r="A536" t="s">
        <v>279</v>
      </c>
      <c r="B536" t="s">
        <v>568</v>
      </c>
      <c r="E536" t="s">
        <v>592</v>
      </c>
      <c r="F536">
        <v>37541</v>
      </c>
      <c r="G536" t="s">
        <v>593</v>
      </c>
      <c r="H536" t="s">
        <v>602</v>
      </c>
      <c r="I536">
        <v>26.4</v>
      </c>
      <c r="J536" t="s">
        <v>611</v>
      </c>
      <c r="K536">
        <f t="shared" si="8"/>
        <v>-37541</v>
      </c>
    </row>
    <row r="537" spans="1:11" x14ac:dyDescent="0.45">
      <c r="A537" t="s">
        <v>471</v>
      </c>
      <c r="B537" t="s">
        <v>568</v>
      </c>
      <c r="D537" t="s">
        <v>589</v>
      </c>
      <c r="E537" t="s">
        <v>591</v>
      </c>
      <c r="F537">
        <v>53422</v>
      </c>
      <c r="G537" t="s">
        <v>595</v>
      </c>
      <c r="J537" t="s">
        <v>612</v>
      </c>
      <c r="K537">
        <f t="shared" si="8"/>
        <v>-53422</v>
      </c>
    </row>
    <row r="538" spans="1:11" x14ac:dyDescent="0.45">
      <c r="A538" t="s">
        <v>253</v>
      </c>
      <c r="B538" t="s">
        <v>568</v>
      </c>
      <c r="D538" t="s">
        <v>585</v>
      </c>
      <c r="E538" t="s">
        <v>591</v>
      </c>
      <c r="F538">
        <v>8429</v>
      </c>
      <c r="G538" t="s">
        <v>598</v>
      </c>
      <c r="J538" t="s">
        <v>613</v>
      </c>
      <c r="K538">
        <f t="shared" si="8"/>
        <v>-8429</v>
      </c>
    </row>
    <row r="539" spans="1:11" x14ac:dyDescent="0.45">
      <c r="A539" t="s">
        <v>253</v>
      </c>
      <c r="B539" t="s">
        <v>568</v>
      </c>
      <c r="D539" t="s">
        <v>584</v>
      </c>
      <c r="E539" t="s">
        <v>591</v>
      </c>
      <c r="F539">
        <v>6960</v>
      </c>
      <c r="G539" t="s">
        <v>597</v>
      </c>
      <c r="J539" t="s">
        <v>608</v>
      </c>
      <c r="K539">
        <f t="shared" si="8"/>
        <v>-6960</v>
      </c>
    </row>
    <row r="540" spans="1:11" x14ac:dyDescent="0.45">
      <c r="A540" t="s">
        <v>227</v>
      </c>
      <c r="B540" t="s">
        <v>568</v>
      </c>
      <c r="D540" t="s">
        <v>588</v>
      </c>
      <c r="E540" t="s">
        <v>591</v>
      </c>
      <c r="F540">
        <v>11623</v>
      </c>
      <c r="G540" t="s">
        <v>597</v>
      </c>
      <c r="J540" t="s">
        <v>606</v>
      </c>
      <c r="K540">
        <f t="shared" si="8"/>
        <v>-11623</v>
      </c>
    </row>
    <row r="541" spans="1:11" x14ac:dyDescent="0.45">
      <c r="A541" t="s">
        <v>421</v>
      </c>
      <c r="B541" t="s">
        <v>569</v>
      </c>
      <c r="D541" t="s">
        <v>585</v>
      </c>
      <c r="E541" t="s">
        <v>591</v>
      </c>
      <c r="F541">
        <v>3185</v>
      </c>
      <c r="G541" t="s">
        <v>593</v>
      </c>
      <c r="J541" t="s">
        <v>608</v>
      </c>
      <c r="K541">
        <f t="shared" si="8"/>
        <v>-3185</v>
      </c>
    </row>
    <row r="542" spans="1:11" x14ac:dyDescent="0.45">
      <c r="A542" t="s">
        <v>421</v>
      </c>
      <c r="B542" t="s">
        <v>569</v>
      </c>
      <c r="D542" t="s">
        <v>589</v>
      </c>
      <c r="E542" t="s">
        <v>591</v>
      </c>
      <c r="F542">
        <v>58773</v>
      </c>
      <c r="G542" t="s">
        <v>594</v>
      </c>
      <c r="J542" t="s">
        <v>606</v>
      </c>
      <c r="K542">
        <f t="shared" si="8"/>
        <v>-58773</v>
      </c>
    </row>
    <row r="543" spans="1:11" x14ac:dyDescent="0.45">
      <c r="A543" t="s">
        <v>392</v>
      </c>
      <c r="B543" t="s">
        <v>569</v>
      </c>
      <c r="D543" t="s">
        <v>582</v>
      </c>
      <c r="E543" t="s">
        <v>591</v>
      </c>
      <c r="F543">
        <v>28327</v>
      </c>
      <c r="G543" t="s">
        <v>598</v>
      </c>
      <c r="J543" t="s">
        <v>614</v>
      </c>
      <c r="K543">
        <f t="shared" si="8"/>
        <v>-28327</v>
      </c>
    </row>
    <row r="544" spans="1:11" x14ac:dyDescent="0.45">
      <c r="A544" t="s">
        <v>392</v>
      </c>
      <c r="B544" t="s">
        <v>569</v>
      </c>
      <c r="E544" t="s">
        <v>592</v>
      </c>
      <c r="F544">
        <v>18488</v>
      </c>
      <c r="G544" t="s">
        <v>596</v>
      </c>
      <c r="H544" t="s">
        <v>600</v>
      </c>
      <c r="I544">
        <v>-7.17</v>
      </c>
      <c r="J544" t="s">
        <v>608</v>
      </c>
      <c r="K544">
        <f t="shared" si="8"/>
        <v>-18488</v>
      </c>
    </row>
    <row r="545" spans="1:11" x14ac:dyDescent="0.45">
      <c r="A545" t="s">
        <v>281</v>
      </c>
      <c r="B545" t="s">
        <v>569</v>
      </c>
      <c r="D545" t="s">
        <v>586</v>
      </c>
      <c r="E545" t="s">
        <v>591</v>
      </c>
      <c r="F545">
        <v>7549</v>
      </c>
      <c r="G545" t="s">
        <v>597</v>
      </c>
      <c r="J545" t="s">
        <v>611</v>
      </c>
      <c r="K545">
        <f t="shared" si="8"/>
        <v>-7549</v>
      </c>
    </row>
    <row r="546" spans="1:11" x14ac:dyDescent="0.45">
      <c r="A546" t="s">
        <v>548</v>
      </c>
      <c r="B546" t="s">
        <v>569</v>
      </c>
      <c r="C546" t="s">
        <v>578</v>
      </c>
      <c r="E546" t="s">
        <v>590</v>
      </c>
      <c r="F546">
        <v>36638</v>
      </c>
      <c r="G546" t="s">
        <v>595</v>
      </c>
      <c r="J546" t="s">
        <v>608</v>
      </c>
      <c r="K546">
        <f t="shared" si="8"/>
        <v>36638</v>
      </c>
    </row>
    <row r="547" spans="1:11" x14ac:dyDescent="0.45">
      <c r="A547" t="s">
        <v>218</v>
      </c>
      <c r="B547" t="s">
        <v>569</v>
      </c>
      <c r="E547" t="s">
        <v>592</v>
      </c>
      <c r="F547">
        <v>45500</v>
      </c>
      <c r="G547" t="s">
        <v>593</v>
      </c>
      <c r="H547" t="s">
        <v>603</v>
      </c>
      <c r="I547">
        <v>-5.47</v>
      </c>
      <c r="J547" t="s">
        <v>610</v>
      </c>
      <c r="K547">
        <f t="shared" si="8"/>
        <v>-45500</v>
      </c>
    </row>
    <row r="548" spans="1:11" x14ac:dyDescent="0.45">
      <c r="A548" t="s">
        <v>218</v>
      </c>
      <c r="B548" t="s">
        <v>569</v>
      </c>
      <c r="C548" t="s">
        <v>576</v>
      </c>
      <c r="E548" t="s">
        <v>590</v>
      </c>
      <c r="F548">
        <v>66727</v>
      </c>
      <c r="G548" t="s">
        <v>595</v>
      </c>
      <c r="J548" t="s">
        <v>608</v>
      </c>
      <c r="K548">
        <f t="shared" si="8"/>
        <v>66727</v>
      </c>
    </row>
    <row r="549" spans="1:11" x14ac:dyDescent="0.45">
      <c r="A549" t="s">
        <v>110</v>
      </c>
      <c r="B549" t="s">
        <v>569</v>
      </c>
      <c r="E549" t="s">
        <v>592</v>
      </c>
      <c r="F549">
        <v>22922</v>
      </c>
      <c r="G549" t="s">
        <v>598</v>
      </c>
      <c r="H549" t="s">
        <v>604</v>
      </c>
      <c r="I549">
        <v>10.46</v>
      </c>
      <c r="J549" t="s">
        <v>605</v>
      </c>
      <c r="K549">
        <f t="shared" si="8"/>
        <v>-22922</v>
      </c>
    </row>
    <row r="550" spans="1:11" x14ac:dyDescent="0.45">
      <c r="A550" t="s">
        <v>110</v>
      </c>
      <c r="B550" t="s">
        <v>569</v>
      </c>
      <c r="C550" t="s">
        <v>579</v>
      </c>
      <c r="E550" t="s">
        <v>590</v>
      </c>
      <c r="F550">
        <v>135323</v>
      </c>
      <c r="G550" t="s">
        <v>597</v>
      </c>
      <c r="J550" t="s">
        <v>605</v>
      </c>
      <c r="K550">
        <f t="shared" si="8"/>
        <v>135323</v>
      </c>
    </row>
    <row r="551" spans="1:11" x14ac:dyDescent="0.45">
      <c r="A551" t="s">
        <v>110</v>
      </c>
      <c r="B551" t="s">
        <v>569</v>
      </c>
      <c r="C551" t="s">
        <v>581</v>
      </c>
      <c r="E551" t="s">
        <v>590</v>
      </c>
      <c r="F551">
        <v>139042</v>
      </c>
      <c r="G551" t="s">
        <v>597</v>
      </c>
      <c r="J551" t="s">
        <v>606</v>
      </c>
      <c r="K551">
        <f t="shared" si="8"/>
        <v>139042</v>
      </c>
    </row>
    <row r="552" spans="1:11" x14ac:dyDescent="0.45">
      <c r="A552" t="s">
        <v>391</v>
      </c>
      <c r="B552" t="s">
        <v>569</v>
      </c>
      <c r="D552" t="s">
        <v>583</v>
      </c>
      <c r="E552" t="s">
        <v>591</v>
      </c>
      <c r="F552">
        <v>14179</v>
      </c>
      <c r="G552" t="s">
        <v>598</v>
      </c>
      <c r="J552" t="s">
        <v>614</v>
      </c>
      <c r="K552">
        <f t="shared" si="8"/>
        <v>-14179</v>
      </c>
    </row>
    <row r="553" spans="1:11" x14ac:dyDescent="0.45">
      <c r="A553" t="s">
        <v>391</v>
      </c>
      <c r="B553" t="s">
        <v>569</v>
      </c>
      <c r="E553" t="s">
        <v>592</v>
      </c>
      <c r="F553">
        <v>16117</v>
      </c>
      <c r="G553" t="s">
        <v>596</v>
      </c>
      <c r="H553" t="s">
        <v>601</v>
      </c>
      <c r="I553">
        <v>-7.84</v>
      </c>
      <c r="J553" t="s">
        <v>608</v>
      </c>
      <c r="K553">
        <f t="shared" si="8"/>
        <v>-16117</v>
      </c>
    </row>
    <row r="554" spans="1:11" x14ac:dyDescent="0.45">
      <c r="A554" t="s">
        <v>89</v>
      </c>
      <c r="B554" t="s">
        <v>569</v>
      </c>
      <c r="C554" t="s">
        <v>575</v>
      </c>
      <c r="E554" t="s">
        <v>590</v>
      </c>
      <c r="F554">
        <v>16453</v>
      </c>
      <c r="G554" t="s">
        <v>594</v>
      </c>
      <c r="J554" t="s">
        <v>614</v>
      </c>
      <c r="K554">
        <f t="shared" si="8"/>
        <v>16453</v>
      </c>
    </row>
    <row r="555" spans="1:11" x14ac:dyDescent="0.45">
      <c r="A555" t="s">
        <v>89</v>
      </c>
      <c r="B555" t="s">
        <v>569</v>
      </c>
      <c r="D555" t="s">
        <v>583</v>
      </c>
      <c r="E555" t="s">
        <v>591</v>
      </c>
      <c r="F555">
        <v>13585</v>
      </c>
      <c r="G555" t="s">
        <v>597</v>
      </c>
      <c r="J555" t="s">
        <v>605</v>
      </c>
      <c r="K555">
        <f t="shared" si="8"/>
        <v>-13585</v>
      </c>
    </row>
    <row r="556" spans="1:11" x14ac:dyDescent="0.45">
      <c r="A556" t="s">
        <v>413</v>
      </c>
      <c r="B556" t="s">
        <v>569</v>
      </c>
      <c r="D556" t="s">
        <v>582</v>
      </c>
      <c r="E556" t="s">
        <v>591</v>
      </c>
      <c r="F556">
        <v>24962</v>
      </c>
      <c r="G556" t="s">
        <v>594</v>
      </c>
      <c r="J556" t="s">
        <v>606</v>
      </c>
      <c r="K556">
        <f t="shared" si="8"/>
        <v>-24962</v>
      </c>
    </row>
    <row r="557" spans="1:11" x14ac:dyDescent="0.45">
      <c r="A557" t="s">
        <v>319</v>
      </c>
      <c r="B557" t="s">
        <v>569</v>
      </c>
      <c r="D557" t="s">
        <v>586</v>
      </c>
      <c r="E557" t="s">
        <v>591</v>
      </c>
      <c r="F557">
        <v>2349</v>
      </c>
      <c r="G557" t="s">
        <v>593</v>
      </c>
      <c r="J557" t="s">
        <v>607</v>
      </c>
      <c r="K557">
        <f t="shared" si="8"/>
        <v>-2349</v>
      </c>
    </row>
    <row r="558" spans="1:11" x14ac:dyDescent="0.45">
      <c r="A558" t="s">
        <v>475</v>
      </c>
      <c r="B558" t="s">
        <v>569</v>
      </c>
      <c r="E558" t="s">
        <v>592</v>
      </c>
      <c r="F558">
        <v>32087</v>
      </c>
      <c r="G558" t="s">
        <v>597</v>
      </c>
      <c r="H558" t="s">
        <v>599</v>
      </c>
      <c r="I558">
        <v>4.0999999999999996</v>
      </c>
      <c r="J558" t="s">
        <v>613</v>
      </c>
      <c r="K558">
        <f t="shared" si="8"/>
        <v>-32087</v>
      </c>
    </row>
    <row r="559" spans="1:11" x14ac:dyDescent="0.45">
      <c r="A559" t="s">
        <v>447</v>
      </c>
      <c r="B559" t="s">
        <v>569</v>
      </c>
      <c r="C559" t="s">
        <v>577</v>
      </c>
      <c r="E559" t="s">
        <v>590</v>
      </c>
      <c r="F559">
        <v>152438</v>
      </c>
      <c r="G559" t="s">
        <v>597</v>
      </c>
      <c r="J559" t="s">
        <v>606</v>
      </c>
      <c r="K559">
        <f t="shared" si="8"/>
        <v>152438</v>
      </c>
    </row>
    <row r="560" spans="1:11" x14ac:dyDescent="0.45">
      <c r="A560" t="s">
        <v>447</v>
      </c>
      <c r="B560" t="s">
        <v>569</v>
      </c>
      <c r="D560" t="s">
        <v>585</v>
      </c>
      <c r="E560" t="s">
        <v>591</v>
      </c>
      <c r="F560">
        <v>717</v>
      </c>
      <c r="G560" t="s">
        <v>598</v>
      </c>
      <c r="J560" t="s">
        <v>613</v>
      </c>
      <c r="K560">
        <f t="shared" si="8"/>
        <v>-717</v>
      </c>
    </row>
    <row r="561" spans="1:11" x14ac:dyDescent="0.45">
      <c r="A561" t="s">
        <v>447</v>
      </c>
      <c r="B561" t="s">
        <v>569</v>
      </c>
      <c r="C561" t="s">
        <v>580</v>
      </c>
      <c r="E561" t="s">
        <v>590</v>
      </c>
      <c r="F561">
        <v>49394</v>
      </c>
      <c r="G561" t="s">
        <v>593</v>
      </c>
      <c r="J561" t="s">
        <v>606</v>
      </c>
      <c r="K561">
        <f t="shared" si="8"/>
        <v>49394</v>
      </c>
    </row>
    <row r="562" spans="1:11" x14ac:dyDescent="0.45">
      <c r="A562" t="s">
        <v>503</v>
      </c>
      <c r="B562" t="s">
        <v>569</v>
      </c>
      <c r="D562" t="s">
        <v>588</v>
      </c>
      <c r="E562" t="s">
        <v>591</v>
      </c>
      <c r="F562">
        <v>8476</v>
      </c>
      <c r="G562" t="s">
        <v>595</v>
      </c>
      <c r="J562" t="s">
        <v>608</v>
      </c>
      <c r="K562">
        <f t="shared" si="8"/>
        <v>-8476</v>
      </c>
    </row>
    <row r="563" spans="1:11" x14ac:dyDescent="0.45">
      <c r="A563" t="s">
        <v>503</v>
      </c>
      <c r="B563" t="s">
        <v>569</v>
      </c>
      <c r="D563" t="s">
        <v>587</v>
      </c>
      <c r="E563" t="s">
        <v>591</v>
      </c>
      <c r="F563">
        <v>3097</v>
      </c>
      <c r="G563" t="s">
        <v>598</v>
      </c>
      <c r="J563" t="s">
        <v>609</v>
      </c>
      <c r="K563">
        <f t="shared" si="8"/>
        <v>-3097</v>
      </c>
    </row>
    <row r="564" spans="1:11" x14ac:dyDescent="0.45">
      <c r="A564" t="s">
        <v>49</v>
      </c>
      <c r="B564" t="s">
        <v>569</v>
      </c>
      <c r="D564" t="s">
        <v>586</v>
      </c>
      <c r="E564" t="s">
        <v>591</v>
      </c>
      <c r="F564">
        <v>13641</v>
      </c>
      <c r="G564" t="s">
        <v>594</v>
      </c>
      <c r="J564" t="s">
        <v>612</v>
      </c>
      <c r="K564">
        <f t="shared" si="8"/>
        <v>-13641</v>
      </c>
    </row>
    <row r="565" spans="1:11" x14ac:dyDescent="0.45">
      <c r="A565" t="s">
        <v>49</v>
      </c>
      <c r="B565" t="s">
        <v>569</v>
      </c>
      <c r="D565" t="s">
        <v>582</v>
      </c>
      <c r="E565" t="s">
        <v>591</v>
      </c>
      <c r="F565">
        <v>40975</v>
      </c>
      <c r="G565" t="s">
        <v>596</v>
      </c>
      <c r="J565" t="s">
        <v>611</v>
      </c>
      <c r="K565">
        <f t="shared" si="8"/>
        <v>-40975</v>
      </c>
    </row>
    <row r="566" spans="1:11" x14ac:dyDescent="0.45">
      <c r="A566" t="s">
        <v>512</v>
      </c>
      <c r="B566" t="s">
        <v>569</v>
      </c>
      <c r="D566" t="s">
        <v>585</v>
      </c>
      <c r="E566" t="s">
        <v>591</v>
      </c>
      <c r="F566">
        <v>7280</v>
      </c>
      <c r="G566" t="s">
        <v>598</v>
      </c>
      <c r="J566" t="s">
        <v>608</v>
      </c>
      <c r="K566">
        <f t="shared" si="8"/>
        <v>-7280</v>
      </c>
    </row>
    <row r="567" spans="1:11" x14ac:dyDescent="0.45">
      <c r="A567" t="s">
        <v>161</v>
      </c>
      <c r="B567" t="s">
        <v>569</v>
      </c>
      <c r="E567" t="s">
        <v>592</v>
      </c>
      <c r="F567">
        <v>22615</v>
      </c>
      <c r="G567" t="s">
        <v>596</v>
      </c>
      <c r="H567" t="s">
        <v>604</v>
      </c>
      <c r="I567">
        <v>5.19</v>
      </c>
      <c r="J567" t="s">
        <v>611</v>
      </c>
      <c r="K567">
        <f t="shared" si="8"/>
        <v>-22615</v>
      </c>
    </row>
    <row r="568" spans="1:11" x14ac:dyDescent="0.45">
      <c r="A568" t="s">
        <v>388</v>
      </c>
      <c r="B568" t="s">
        <v>569</v>
      </c>
      <c r="D568" t="s">
        <v>589</v>
      </c>
      <c r="E568" t="s">
        <v>591</v>
      </c>
      <c r="F568">
        <v>57358</v>
      </c>
      <c r="G568" t="s">
        <v>593</v>
      </c>
      <c r="J568" t="s">
        <v>610</v>
      </c>
      <c r="K568">
        <f t="shared" si="8"/>
        <v>-57358</v>
      </c>
    </row>
    <row r="569" spans="1:11" x14ac:dyDescent="0.45">
      <c r="A569" t="s">
        <v>404</v>
      </c>
      <c r="B569" t="s">
        <v>569</v>
      </c>
      <c r="D569" t="s">
        <v>588</v>
      </c>
      <c r="E569" t="s">
        <v>591</v>
      </c>
      <c r="F569">
        <v>8011</v>
      </c>
      <c r="G569" t="s">
        <v>598</v>
      </c>
      <c r="J569" t="s">
        <v>610</v>
      </c>
      <c r="K569">
        <f t="shared" si="8"/>
        <v>-8011</v>
      </c>
    </row>
    <row r="570" spans="1:11" x14ac:dyDescent="0.45">
      <c r="A570" t="s">
        <v>195</v>
      </c>
      <c r="B570" t="s">
        <v>569</v>
      </c>
      <c r="D570" t="s">
        <v>589</v>
      </c>
      <c r="E570" t="s">
        <v>591</v>
      </c>
      <c r="F570">
        <v>27131</v>
      </c>
      <c r="G570" t="s">
        <v>595</v>
      </c>
      <c r="J570" t="s">
        <v>610</v>
      </c>
      <c r="K570">
        <f t="shared" si="8"/>
        <v>-27131</v>
      </c>
    </row>
    <row r="571" spans="1:11" x14ac:dyDescent="0.45">
      <c r="A571" t="s">
        <v>195</v>
      </c>
      <c r="B571" t="s">
        <v>569</v>
      </c>
      <c r="C571" t="s">
        <v>577</v>
      </c>
      <c r="E571" t="s">
        <v>590</v>
      </c>
      <c r="F571">
        <v>73005</v>
      </c>
      <c r="G571" t="s">
        <v>598</v>
      </c>
      <c r="J571" t="s">
        <v>612</v>
      </c>
      <c r="K571">
        <f t="shared" si="8"/>
        <v>73005</v>
      </c>
    </row>
    <row r="572" spans="1:11" x14ac:dyDescent="0.45">
      <c r="A572" t="s">
        <v>195</v>
      </c>
      <c r="B572" t="s">
        <v>569</v>
      </c>
      <c r="D572" t="s">
        <v>582</v>
      </c>
      <c r="E572" t="s">
        <v>591</v>
      </c>
      <c r="F572">
        <v>44669</v>
      </c>
      <c r="G572" t="s">
        <v>593</v>
      </c>
      <c r="J572" t="s">
        <v>608</v>
      </c>
      <c r="K572">
        <f t="shared" si="8"/>
        <v>-44669</v>
      </c>
    </row>
    <row r="573" spans="1:11" x14ac:dyDescent="0.45">
      <c r="A573" t="s">
        <v>88</v>
      </c>
      <c r="B573" t="s">
        <v>569</v>
      </c>
      <c r="E573" t="s">
        <v>592</v>
      </c>
      <c r="F573">
        <v>60970</v>
      </c>
      <c r="G573" t="s">
        <v>595</v>
      </c>
      <c r="H573" t="s">
        <v>600</v>
      </c>
      <c r="I573">
        <v>15.89</v>
      </c>
      <c r="J573" t="s">
        <v>613</v>
      </c>
      <c r="K573">
        <f t="shared" si="8"/>
        <v>-60970</v>
      </c>
    </row>
    <row r="574" spans="1:11" x14ac:dyDescent="0.45">
      <c r="A574" t="s">
        <v>88</v>
      </c>
      <c r="B574" t="s">
        <v>569</v>
      </c>
      <c r="D574" t="s">
        <v>589</v>
      </c>
      <c r="E574" t="s">
        <v>591</v>
      </c>
      <c r="F574">
        <v>41347</v>
      </c>
      <c r="G574" t="s">
        <v>595</v>
      </c>
      <c r="J574" t="s">
        <v>609</v>
      </c>
      <c r="K574">
        <f t="shared" si="8"/>
        <v>-41347</v>
      </c>
    </row>
    <row r="575" spans="1:11" x14ac:dyDescent="0.45">
      <c r="A575" t="s">
        <v>88</v>
      </c>
      <c r="B575" t="s">
        <v>569</v>
      </c>
      <c r="C575" t="s">
        <v>576</v>
      </c>
      <c r="E575" t="s">
        <v>590</v>
      </c>
      <c r="F575">
        <v>113031</v>
      </c>
      <c r="G575" t="s">
        <v>593</v>
      </c>
      <c r="J575" t="s">
        <v>614</v>
      </c>
      <c r="K575">
        <f t="shared" si="8"/>
        <v>113031</v>
      </c>
    </row>
    <row r="576" spans="1:11" x14ac:dyDescent="0.45">
      <c r="A576" t="s">
        <v>88</v>
      </c>
      <c r="B576" t="s">
        <v>569</v>
      </c>
      <c r="C576" t="s">
        <v>575</v>
      </c>
      <c r="E576" t="s">
        <v>590</v>
      </c>
      <c r="F576">
        <v>169353</v>
      </c>
      <c r="G576" t="s">
        <v>594</v>
      </c>
      <c r="J576" t="s">
        <v>613</v>
      </c>
      <c r="K576">
        <f t="shared" si="8"/>
        <v>169353</v>
      </c>
    </row>
    <row r="577" spans="1:11" x14ac:dyDescent="0.45">
      <c r="A577" t="s">
        <v>176</v>
      </c>
      <c r="B577" t="s">
        <v>574</v>
      </c>
      <c r="C577" t="s">
        <v>580</v>
      </c>
      <c r="E577" t="s">
        <v>590</v>
      </c>
      <c r="F577">
        <v>156402</v>
      </c>
      <c r="G577" t="s">
        <v>596</v>
      </c>
      <c r="J577" t="s">
        <v>607</v>
      </c>
      <c r="K577">
        <f t="shared" si="8"/>
        <v>156402</v>
      </c>
    </row>
    <row r="578" spans="1:11" x14ac:dyDescent="0.45">
      <c r="A578" t="s">
        <v>466</v>
      </c>
      <c r="B578" t="s">
        <v>574</v>
      </c>
      <c r="D578" t="s">
        <v>582</v>
      </c>
      <c r="E578" t="s">
        <v>591</v>
      </c>
      <c r="F578">
        <v>43866</v>
      </c>
      <c r="G578" t="s">
        <v>596</v>
      </c>
      <c r="J578" t="s">
        <v>613</v>
      </c>
      <c r="K578">
        <f t="shared" ref="K578:K641" si="9">IF(E578= "Income", F578, -F578)</f>
        <v>-43866</v>
      </c>
    </row>
    <row r="579" spans="1:11" x14ac:dyDescent="0.45">
      <c r="A579" t="s">
        <v>466</v>
      </c>
      <c r="B579" t="s">
        <v>574</v>
      </c>
      <c r="E579" t="s">
        <v>592</v>
      </c>
      <c r="F579">
        <v>79572</v>
      </c>
      <c r="G579" t="s">
        <v>593</v>
      </c>
      <c r="H579" t="s">
        <v>602</v>
      </c>
      <c r="I579">
        <v>14.17</v>
      </c>
      <c r="J579" t="s">
        <v>608</v>
      </c>
      <c r="K579">
        <f t="shared" si="9"/>
        <v>-79572</v>
      </c>
    </row>
    <row r="580" spans="1:11" x14ac:dyDescent="0.45">
      <c r="A580" t="s">
        <v>367</v>
      </c>
      <c r="B580" t="s">
        <v>574</v>
      </c>
      <c r="D580" t="s">
        <v>583</v>
      </c>
      <c r="E580" t="s">
        <v>591</v>
      </c>
      <c r="F580">
        <v>14162</v>
      </c>
      <c r="G580" t="s">
        <v>593</v>
      </c>
      <c r="J580" t="s">
        <v>613</v>
      </c>
      <c r="K580">
        <f t="shared" si="9"/>
        <v>-14162</v>
      </c>
    </row>
    <row r="581" spans="1:11" x14ac:dyDescent="0.45">
      <c r="A581" t="s">
        <v>55</v>
      </c>
      <c r="B581" t="s">
        <v>574</v>
      </c>
      <c r="D581" t="s">
        <v>588</v>
      </c>
      <c r="E581" t="s">
        <v>591</v>
      </c>
      <c r="F581">
        <v>4772</v>
      </c>
      <c r="G581" t="s">
        <v>593</v>
      </c>
      <c r="J581" t="s">
        <v>611</v>
      </c>
      <c r="K581">
        <f t="shared" si="9"/>
        <v>-4772</v>
      </c>
    </row>
    <row r="582" spans="1:11" x14ac:dyDescent="0.45">
      <c r="A582" t="s">
        <v>55</v>
      </c>
      <c r="B582" t="s">
        <v>574</v>
      </c>
      <c r="D582" t="s">
        <v>586</v>
      </c>
      <c r="E582" t="s">
        <v>591</v>
      </c>
      <c r="F582">
        <v>16498</v>
      </c>
      <c r="G582" t="s">
        <v>593</v>
      </c>
      <c r="J582" t="s">
        <v>609</v>
      </c>
      <c r="K582">
        <f t="shared" si="9"/>
        <v>-16498</v>
      </c>
    </row>
    <row r="583" spans="1:11" x14ac:dyDescent="0.45">
      <c r="A583" t="s">
        <v>51</v>
      </c>
      <c r="B583" t="s">
        <v>574</v>
      </c>
      <c r="D583" t="s">
        <v>589</v>
      </c>
      <c r="E583" t="s">
        <v>591</v>
      </c>
      <c r="F583">
        <v>11144</v>
      </c>
      <c r="G583" t="s">
        <v>593</v>
      </c>
      <c r="J583" t="s">
        <v>609</v>
      </c>
      <c r="K583">
        <f t="shared" si="9"/>
        <v>-11144</v>
      </c>
    </row>
    <row r="584" spans="1:11" x14ac:dyDescent="0.45">
      <c r="A584" t="s">
        <v>51</v>
      </c>
      <c r="B584" t="s">
        <v>574</v>
      </c>
      <c r="D584" t="s">
        <v>582</v>
      </c>
      <c r="E584" t="s">
        <v>591</v>
      </c>
      <c r="F584">
        <v>37430</v>
      </c>
      <c r="G584" t="s">
        <v>597</v>
      </c>
      <c r="J584" t="s">
        <v>613</v>
      </c>
      <c r="K584">
        <f t="shared" si="9"/>
        <v>-37430</v>
      </c>
    </row>
    <row r="585" spans="1:11" x14ac:dyDescent="0.45">
      <c r="A585" t="s">
        <v>51</v>
      </c>
      <c r="B585" t="s">
        <v>574</v>
      </c>
      <c r="E585" t="s">
        <v>592</v>
      </c>
      <c r="F585">
        <v>16040</v>
      </c>
      <c r="G585" t="s">
        <v>595</v>
      </c>
      <c r="H585" t="s">
        <v>601</v>
      </c>
      <c r="I585">
        <v>-4.16</v>
      </c>
      <c r="J585" t="s">
        <v>609</v>
      </c>
      <c r="K585">
        <f t="shared" si="9"/>
        <v>-16040</v>
      </c>
    </row>
    <row r="586" spans="1:11" x14ac:dyDescent="0.45">
      <c r="A586" t="s">
        <v>93</v>
      </c>
      <c r="B586" t="s">
        <v>574</v>
      </c>
      <c r="E586" t="s">
        <v>592</v>
      </c>
      <c r="F586">
        <v>126893</v>
      </c>
      <c r="G586" t="s">
        <v>598</v>
      </c>
      <c r="H586" t="s">
        <v>600</v>
      </c>
      <c r="I586">
        <v>23.58</v>
      </c>
      <c r="J586" t="s">
        <v>613</v>
      </c>
      <c r="K586">
        <f t="shared" si="9"/>
        <v>-126893</v>
      </c>
    </row>
    <row r="587" spans="1:11" x14ac:dyDescent="0.45">
      <c r="A587" t="s">
        <v>93</v>
      </c>
      <c r="B587" t="s">
        <v>574</v>
      </c>
      <c r="D587" t="s">
        <v>589</v>
      </c>
      <c r="E587" t="s">
        <v>591</v>
      </c>
      <c r="F587">
        <v>47687</v>
      </c>
      <c r="G587" t="s">
        <v>595</v>
      </c>
      <c r="J587" t="s">
        <v>610</v>
      </c>
      <c r="K587">
        <f t="shared" si="9"/>
        <v>-47687</v>
      </c>
    </row>
    <row r="588" spans="1:11" x14ac:dyDescent="0.45">
      <c r="A588" t="s">
        <v>243</v>
      </c>
      <c r="B588" t="s">
        <v>574</v>
      </c>
      <c r="C588" t="s">
        <v>578</v>
      </c>
      <c r="E588" t="s">
        <v>590</v>
      </c>
      <c r="F588">
        <v>78062</v>
      </c>
      <c r="G588" t="s">
        <v>597</v>
      </c>
      <c r="J588" t="s">
        <v>614</v>
      </c>
      <c r="K588">
        <f t="shared" si="9"/>
        <v>78062</v>
      </c>
    </row>
    <row r="589" spans="1:11" x14ac:dyDescent="0.45">
      <c r="A589" t="s">
        <v>243</v>
      </c>
      <c r="B589" t="s">
        <v>574</v>
      </c>
      <c r="D589" t="s">
        <v>586</v>
      </c>
      <c r="E589" t="s">
        <v>591</v>
      </c>
      <c r="F589">
        <v>7243</v>
      </c>
      <c r="G589" t="s">
        <v>596</v>
      </c>
      <c r="J589" t="s">
        <v>610</v>
      </c>
      <c r="K589">
        <f t="shared" si="9"/>
        <v>-7243</v>
      </c>
    </row>
    <row r="590" spans="1:11" x14ac:dyDescent="0.45">
      <c r="A590" t="s">
        <v>68</v>
      </c>
      <c r="B590" t="s">
        <v>574</v>
      </c>
      <c r="C590" t="s">
        <v>578</v>
      </c>
      <c r="E590" t="s">
        <v>590</v>
      </c>
      <c r="F590">
        <v>110591</v>
      </c>
      <c r="G590" t="s">
        <v>594</v>
      </c>
      <c r="J590" t="s">
        <v>611</v>
      </c>
      <c r="K590">
        <f t="shared" si="9"/>
        <v>110591</v>
      </c>
    </row>
    <row r="591" spans="1:11" x14ac:dyDescent="0.45">
      <c r="A591" t="s">
        <v>68</v>
      </c>
      <c r="B591" t="s">
        <v>574</v>
      </c>
      <c r="E591" t="s">
        <v>592</v>
      </c>
      <c r="F591">
        <v>44431</v>
      </c>
      <c r="G591" t="s">
        <v>597</v>
      </c>
      <c r="H591" t="s">
        <v>604</v>
      </c>
      <c r="I591">
        <v>-1.35</v>
      </c>
      <c r="J591" t="s">
        <v>607</v>
      </c>
      <c r="K591">
        <f t="shared" si="9"/>
        <v>-44431</v>
      </c>
    </row>
    <row r="592" spans="1:11" x14ac:dyDescent="0.45">
      <c r="A592" t="s">
        <v>348</v>
      </c>
      <c r="B592" t="s">
        <v>574</v>
      </c>
      <c r="D592" t="s">
        <v>583</v>
      </c>
      <c r="E592" t="s">
        <v>591</v>
      </c>
      <c r="F592">
        <v>3684</v>
      </c>
      <c r="G592" t="s">
        <v>594</v>
      </c>
      <c r="J592" t="s">
        <v>610</v>
      </c>
      <c r="K592">
        <f t="shared" si="9"/>
        <v>-3684</v>
      </c>
    </row>
    <row r="593" spans="1:11" x14ac:dyDescent="0.45">
      <c r="A593" t="s">
        <v>415</v>
      </c>
      <c r="B593" t="s">
        <v>574</v>
      </c>
      <c r="E593" t="s">
        <v>592</v>
      </c>
      <c r="F593">
        <v>70028</v>
      </c>
      <c r="G593" t="s">
        <v>598</v>
      </c>
      <c r="H593" t="s">
        <v>602</v>
      </c>
      <c r="I593">
        <v>-13.73</v>
      </c>
      <c r="J593" t="s">
        <v>614</v>
      </c>
      <c r="K593">
        <f t="shared" si="9"/>
        <v>-70028</v>
      </c>
    </row>
    <row r="594" spans="1:11" x14ac:dyDescent="0.45">
      <c r="A594" t="s">
        <v>550</v>
      </c>
      <c r="B594" t="s">
        <v>574</v>
      </c>
      <c r="D594" t="s">
        <v>585</v>
      </c>
      <c r="E594" t="s">
        <v>591</v>
      </c>
      <c r="F594">
        <v>2509</v>
      </c>
      <c r="G594" t="s">
        <v>595</v>
      </c>
      <c r="J594" t="s">
        <v>607</v>
      </c>
      <c r="K594">
        <f t="shared" si="9"/>
        <v>-2509</v>
      </c>
    </row>
    <row r="595" spans="1:11" x14ac:dyDescent="0.45">
      <c r="A595" t="s">
        <v>114</v>
      </c>
      <c r="B595" t="s">
        <v>574</v>
      </c>
      <c r="C595" t="s">
        <v>576</v>
      </c>
      <c r="E595" t="s">
        <v>590</v>
      </c>
      <c r="F595">
        <v>85800</v>
      </c>
      <c r="G595" t="s">
        <v>597</v>
      </c>
      <c r="J595" t="s">
        <v>607</v>
      </c>
      <c r="K595">
        <f t="shared" si="9"/>
        <v>85800</v>
      </c>
    </row>
    <row r="596" spans="1:11" x14ac:dyDescent="0.45">
      <c r="A596" t="s">
        <v>114</v>
      </c>
      <c r="B596" t="s">
        <v>574</v>
      </c>
      <c r="D596" t="s">
        <v>584</v>
      </c>
      <c r="E596" t="s">
        <v>591</v>
      </c>
      <c r="F596">
        <v>3044</v>
      </c>
      <c r="G596" t="s">
        <v>595</v>
      </c>
      <c r="J596" t="s">
        <v>607</v>
      </c>
      <c r="K596">
        <f t="shared" si="9"/>
        <v>-3044</v>
      </c>
    </row>
    <row r="597" spans="1:11" x14ac:dyDescent="0.45">
      <c r="A597" t="s">
        <v>100</v>
      </c>
      <c r="B597" t="s">
        <v>574</v>
      </c>
      <c r="D597" t="s">
        <v>583</v>
      </c>
      <c r="E597" t="s">
        <v>591</v>
      </c>
      <c r="F597">
        <v>11314</v>
      </c>
      <c r="G597" t="s">
        <v>598</v>
      </c>
      <c r="J597" t="s">
        <v>614</v>
      </c>
      <c r="K597">
        <f t="shared" si="9"/>
        <v>-11314</v>
      </c>
    </row>
    <row r="598" spans="1:11" x14ac:dyDescent="0.45">
      <c r="A598" t="s">
        <v>217</v>
      </c>
      <c r="B598" t="s">
        <v>574</v>
      </c>
      <c r="E598" t="s">
        <v>592</v>
      </c>
      <c r="F598">
        <v>117209</v>
      </c>
      <c r="G598" t="s">
        <v>597</v>
      </c>
      <c r="H598" t="s">
        <v>604</v>
      </c>
      <c r="I598">
        <v>10.32</v>
      </c>
      <c r="J598" t="s">
        <v>610</v>
      </c>
      <c r="K598">
        <f t="shared" si="9"/>
        <v>-117209</v>
      </c>
    </row>
    <row r="599" spans="1:11" x14ac:dyDescent="0.45">
      <c r="A599" t="s">
        <v>217</v>
      </c>
      <c r="B599" t="s">
        <v>574</v>
      </c>
      <c r="C599" t="s">
        <v>580</v>
      </c>
      <c r="E599" t="s">
        <v>590</v>
      </c>
      <c r="F599">
        <v>133260</v>
      </c>
      <c r="G599" t="s">
        <v>596</v>
      </c>
      <c r="J599" t="s">
        <v>606</v>
      </c>
      <c r="K599">
        <f t="shared" si="9"/>
        <v>133260</v>
      </c>
    </row>
    <row r="600" spans="1:11" x14ac:dyDescent="0.45">
      <c r="A600" t="s">
        <v>355</v>
      </c>
      <c r="B600" t="s">
        <v>574</v>
      </c>
      <c r="D600" t="s">
        <v>582</v>
      </c>
      <c r="E600" t="s">
        <v>591</v>
      </c>
      <c r="F600">
        <v>34813</v>
      </c>
      <c r="G600" t="s">
        <v>598</v>
      </c>
      <c r="J600" t="s">
        <v>613</v>
      </c>
      <c r="K600">
        <f t="shared" si="9"/>
        <v>-34813</v>
      </c>
    </row>
    <row r="601" spans="1:11" x14ac:dyDescent="0.45">
      <c r="A601" t="s">
        <v>355</v>
      </c>
      <c r="B601" t="s">
        <v>574</v>
      </c>
      <c r="D601" t="s">
        <v>587</v>
      </c>
      <c r="E601" t="s">
        <v>591</v>
      </c>
      <c r="F601">
        <v>2091</v>
      </c>
      <c r="G601" t="s">
        <v>593</v>
      </c>
      <c r="J601" t="s">
        <v>607</v>
      </c>
      <c r="K601">
        <f t="shared" si="9"/>
        <v>-2091</v>
      </c>
    </row>
    <row r="602" spans="1:11" x14ac:dyDescent="0.45">
      <c r="A602" t="s">
        <v>355</v>
      </c>
      <c r="B602" t="s">
        <v>574</v>
      </c>
      <c r="D602" t="s">
        <v>586</v>
      </c>
      <c r="E602" t="s">
        <v>591</v>
      </c>
      <c r="F602">
        <v>3455</v>
      </c>
      <c r="G602" t="s">
        <v>593</v>
      </c>
      <c r="J602" t="s">
        <v>606</v>
      </c>
      <c r="K602">
        <f t="shared" si="9"/>
        <v>-3455</v>
      </c>
    </row>
    <row r="603" spans="1:11" x14ac:dyDescent="0.45">
      <c r="A603" t="s">
        <v>226</v>
      </c>
      <c r="B603" t="s">
        <v>574</v>
      </c>
      <c r="D603" t="s">
        <v>585</v>
      </c>
      <c r="E603" t="s">
        <v>591</v>
      </c>
      <c r="F603">
        <v>6262</v>
      </c>
      <c r="G603" t="s">
        <v>596</v>
      </c>
      <c r="J603" t="s">
        <v>609</v>
      </c>
      <c r="K603">
        <f t="shared" si="9"/>
        <v>-6262</v>
      </c>
    </row>
    <row r="604" spans="1:11" x14ac:dyDescent="0.45">
      <c r="A604" t="s">
        <v>226</v>
      </c>
      <c r="B604" t="s">
        <v>574</v>
      </c>
      <c r="C604" t="s">
        <v>577</v>
      </c>
      <c r="E604" t="s">
        <v>590</v>
      </c>
      <c r="F604">
        <v>150830</v>
      </c>
      <c r="G604" t="s">
        <v>596</v>
      </c>
      <c r="J604" t="s">
        <v>605</v>
      </c>
      <c r="K604">
        <f t="shared" si="9"/>
        <v>150830</v>
      </c>
    </row>
    <row r="605" spans="1:11" x14ac:dyDescent="0.45">
      <c r="A605" t="s">
        <v>160</v>
      </c>
      <c r="B605" t="s">
        <v>574</v>
      </c>
      <c r="C605" t="s">
        <v>579</v>
      </c>
      <c r="E605" t="s">
        <v>590</v>
      </c>
      <c r="F605">
        <v>19023</v>
      </c>
      <c r="G605" t="s">
        <v>598</v>
      </c>
      <c r="J605" t="s">
        <v>612</v>
      </c>
      <c r="K605">
        <f t="shared" si="9"/>
        <v>19023</v>
      </c>
    </row>
    <row r="606" spans="1:11" x14ac:dyDescent="0.45">
      <c r="A606" t="s">
        <v>223</v>
      </c>
      <c r="B606" t="s">
        <v>574</v>
      </c>
      <c r="D606" t="s">
        <v>584</v>
      </c>
      <c r="E606" t="s">
        <v>591</v>
      </c>
      <c r="F606">
        <v>5044</v>
      </c>
      <c r="G606" t="s">
        <v>594</v>
      </c>
      <c r="J606" t="s">
        <v>611</v>
      </c>
      <c r="K606">
        <f t="shared" si="9"/>
        <v>-5044</v>
      </c>
    </row>
    <row r="607" spans="1:11" x14ac:dyDescent="0.45">
      <c r="A607" t="s">
        <v>133</v>
      </c>
      <c r="B607" t="s">
        <v>574</v>
      </c>
      <c r="C607" t="s">
        <v>576</v>
      </c>
      <c r="E607" t="s">
        <v>590</v>
      </c>
      <c r="F607">
        <v>127415</v>
      </c>
      <c r="G607" t="s">
        <v>596</v>
      </c>
      <c r="J607" t="s">
        <v>608</v>
      </c>
      <c r="K607">
        <f t="shared" si="9"/>
        <v>127415</v>
      </c>
    </row>
    <row r="608" spans="1:11" x14ac:dyDescent="0.45">
      <c r="A608" t="s">
        <v>133</v>
      </c>
      <c r="B608" t="s">
        <v>574</v>
      </c>
      <c r="E608" t="s">
        <v>592</v>
      </c>
      <c r="F608">
        <v>93357</v>
      </c>
      <c r="G608" t="s">
        <v>596</v>
      </c>
      <c r="H608" t="s">
        <v>603</v>
      </c>
      <c r="I608">
        <v>15.51</v>
      </c>
      <c r="J608" t="s">
        <v>608</v>
      </c>
      <c r="K608">
        <f t="shared" si="9"/>
        <v>-93357</v>
      </c>
    </row>
    <row r="609" spans="1:11" x14ac:dyDescent="0.45">
      <c r="A609" t="s">
        <v>165</v>
      </c>
      <c r="B609" t="s">
        <v>574</v>
      </c>
      <c r="C609" t="s">
        <v>578</v>
      </c>
      <c r="E609" t="s">
        <v>590</v>
      </c>
      <c r="F609">
        <v>22588</v>
      </c>
      <c r="G609" t="s">
        <v>594</v>
      </c>
      <c r="J609" t="s">
        <v>611</v>
      </c>
      <c r="K609">
        <f t="shared" si="9"/>
        <v>22588</v>
      </c>
    </row>
    <row r="610" spans="1:11" x14ac:dyDescent="0.45">
      <c r="A610" t="s">
        <v>165</v>
      </c>
      <c r="B610" t="s">
        <v>574</v>
      </c>
      <c r="D610" t="s">
        <v>589</v>
      </c>
      <c r="E610" t="s">
        <v>591</v>
      </c>
      <c r="F610">
        <v>16335</v>
      </c>
      <c r="G610" t="s">
        <v>597</v>
      </c>
      <c r="J610" t="s">
        <v>605</v>
      </c>
      <c r="K610">
        <f t="shared" si="9"/>
        <v>-16335</v>
      </c>
    </row>
    <row r="611" spans="1:11" x14ac:dyDescent="0.45">
      <c r="A611" t="s">
        <v>487</v>
      </c>
      <c r="B611" t="s">
        <v>565</v>
      </c>
      <c r="C611" t="s">
        <v>575</v>
      </c>
      <c r="E611" t="s">
        <v>590</v>
      </c>
      <c r="F611">
        <v>175878</v>
      </c>
      <c r="G611" t="s">
        <v>597</v>
      </c>
      <c r="J611" t="s">
        <v>605</v>
      </c>
      <c r="K611">
        <f t="shared" si="9"/>
        <v>175878</v>
      </c>
    </row>
    <row r="612" spans="1:11" x14ac:dyDescent="0.45">
      <c r="A612" t="s">
        <v>487</v>
      </c>
      <c r="B612" t="s">
        <v>565</v>
      </c>
      <c r="D612" t="s">
        <v>582</v>
      </c>
      <c r="E612" t="s">
        <v>591</v>
      </c>
      <c r="F612">
        <v>22554</v>
      </c>
      <c r="G612" t="s">
        <v>595</v>
      </c>
      <c r="J612" t="s">
        <v>609</v>
      </c>
      <c r="K612">
        <f t="shared" si="9"/>
        <v>-22554</v>
      </c>
    </row>
    <row r="613" spans="1:11" x14ac:dyDescent="0.45">
      <c r="A613" t="s">
        <v>257</v>
      </c>
      <c r="B613" t="s">
        <v>565</v>
      </c>
      <c r="C613" t="s">
        <v>577</v>
      </c>
      <c r="E613" t="s">
        <v>590</v>
      </c>
      <c r="F613">
        <v>107421</v>
      </c>
      <c r="G613" t="s">
        <v>597</v>
      </c>
      <c r="J613" t="s">
        <v>614</v>
      </c>
      <c r="K613">
        <f t="shared" si="9"/>
        <v>107421</v>
      </c>
    </row>
    <row r="614" spans="1:11" x14ac:dyDescent="0.45">
      <c r="A614" t="s">
        <v>257</v>
      </c>
      <c r="B614" t="s">
        <v>565</v>
      </c>
      <c r="E614" t="s">
        <v>592</v>
      </c>
      <c r="F614">
        <v>42555</v>
      </c>
      <c r="G614" t="s">
        <v>593</v>
      </c>
      <c r="H614" t="s">
        <v>602</v>
      </c>
      <c r="I614">
        <v>4.9400000000000004</v>
      </c>
      <c r="J614" t="s">
        <v>612</v>
      </c>
      <c r="K614">
        <f t="shared" si="9"/>
        <v>-42555</v>
      </c>
    </row>
    <row r="615" spans="1:11" x14ac:dyDescent="0.45">
      <c r="A615" t="s">
        <v>482</v>
      </c>
      <c r="B615" t="s">
        <v>565</v>
      </c>
      <c r="C615" t="s">
        <v>575</v>
      </c>
      <c r="E615" t="s">
        <v>590</v>
      </c>
      <c r="F615">
        <v>34521</v>
      </c>
      <c r="G615" t="s">
        <v>593</v>
      </c>
      <c r="J615" t="s">
        <v>612</v>
      </c>
      <c r="K615">
        <f t="shared" si="9"/>
        <v>34521</v>
      </c>
    </row>
    <row r="616" spans="1:11" x14ac:dyDescent="0.45">
      <c r="A616" t="s">
        <v>94</v>
      </c>
      <c r="B616" t="s">
        <v>565</v>
      </c>
      <c r="C616" t="s">
        <v>580</v>
      </c>
      <c r="E616" t="s">
        <v>590</v>
      </c>
      <c r="F616">
        <v>87695</v>
      </c>
      <c r="G616" t="s">
        <v>597</v>
      </c>
      <c r="J616" t="s">
        <v>613</v>
      </c>
      <c r="K616">
        <f t="shared" si="9"/>
        <v>87695</v>
      </c>
    </row>
    <row r="617" spans="1:11" x14ac:dyDescent="0.45">
      <c r="A617" t="s">
        <v>94</v>
      </c>
      <c r="B617" t="s">
        <v>565</v>
      </c>
      <c r="E617" t="s">
        <v>592</v>
      </c>
      <c r="F617">
        <v>180875</v>
      </c>
      <c r="G617" t="s">
        <v>597</v>
      </c>
      <c r="H617" t="s">
        <v>600</v>
      </c>
      <c r="I617">
        <v>-6.91</v>
      </c>
      <c r="J617" t="s">
        <v>613</v>
      </c>
      <c r="K617">
        <f t="shared" si="9"/>
        <v>-180875</v>
      </c>
    </row>
    <row r="618" spans="1:11" x14ac:dyDescent="0.45">
      <c r="A618" t="s">
        <v>94</v>
      </c>
      <c r="B618" t="s">
        <v>565</v>
      </c>
      <c r="E618" t="s">
        <v>592</v>
      </c>
      <c r="F618">
        <v>37103</v>
      </c>
      <c r="G618" t="s">
        <v>593</v>
      </c>
      <c r="H618" t="s">
        <v>599</v>
      </c>
      <c r="I618">
        <v>16.16</v>
      </c>
      <c r="J618" t="s">
        <v>606</v>
      </c>
      <c r="K618">
        <f t="shared" si="9"/>
        <v>-37103</v>
      </c>
    </row>
    <row r="619" spans="1:11" x14ac:dyDescent="0.45">
      <c r="A619" t="s">
        <v>94</v>
      </c>
      <c r="B619" t="s">
        <v>565</v>
      </c>
      <c r="C619" t="s">
        <v>578</v>
      </c>
      <c r="E619" t="s">
        <v>590</v>
      </c>
      <c r="F619">
        <v>156978</v>
      </c>
      <c r="G619" t="s">
        <v>596</v>
      </c>
      <c r="J619" t="s">
        <v>613</v>
      </c>
      <c r="K619">
        <f t="shared" si="9"/>
        <v>156978</v>
      </c>
    </row>
    <row r="620" spans="1:11" x14ac:dyDescent="0.45">
      <c r="A620" t="s">
        <v>492</v>
      </c>
      <c r="B620" t="s">
        <v>565</v>
      </c>
      <c r="D620" t="s">
        <v>583</v>
      </c>
      <c r="E620" t="s">
        <v>591</v>
      </c>
      <c r="F620">
        <v>10667</v>
      </c>
      <c r="G620" t="s">
        <v>594</v>
      </c>
      <c r="J620" t="s">
        <v>614</v>
      </c>
      <c r="K620">
        <f t="shared" si="9"/>
        <v>-10667</v>
      </c>
    </row>
    <row r="621" spans="1:11" x14ac:dyDescent="0.45">
      <c r="A621" t="s">
        <v>190</v>
      </c>
      <c r="B621" t="s">
        <v>565</v>
      </c>
      <c r="D621" t="s">
        <v>587</v>
      </c>
      <c r="E621" t="s">
        <v>591</v>
      </c>
      <c r="F621">
        <v>3128</v>
      </c>
      <c r="G621" t="s">
        <v>598</v>
      </c>
      <c r="J621" t="s">
        <v>607</v>
      </c>
      <c r="K621">
        <f t="shared" si="9"/>
        <v>-3128</v>
      </c>
    </row>
    <row r="622" spans="1:11" x14ac:dyDescent="0.45">
      <c r="A622" t="s">
        <v>190</v>
      </c>
      <c r="B622" t="s">
        <v>565</v>
      </c>
      <c r="D622" t="s">
        <v>584</v>
      </c>
      <c r="E622" t="s">
        <v>591</v>
      </c>
      <c r="F622">
        <v>1182</v>
      </c>
      <c r="G622" t="s">
        <v>594</v>
      </c>
      <c r="J622" t="s">
        <v>612</v>
      </c>
      <c r="K622">
        <f t="shared" si="9"/>
        <v>-1182</v>
      </c>
    </row>
    <row r="623" spans="1:11" x14ac:dyDescent="0.45">
      <c r="A623" t="s">
        <v>411</v>
      </c>
      <c r="B623" t="s">
        <v>565</v>
      </c>
      <c r="D623" t="s">
        <v>586</v>
      </c>
      <c r="E623" t="s">
        <v>591</v>
      </c>
      <c r="F623">
        <v>3603</v>
      </c>
      <c r="G623" t="s">
        <v>595</v>
      </c>
      <c r="J623" t="s">
        <v>610</v>
      </c>
      <c r="K623">
        <f t="shared" si="9"/>
        <v>-3603</v>
      </c>
    </row>
    <row r="624" spans="1:11" x14ac:dyDescent="0.45">
      <c r="A624" t="s">
        <v>411</v>
      </c>
      <c r="B624" t="s">
        <v>565</v>
      </c>
      <c r="C624" t="s">
        <v>577</v>
      </c>
      <c r="E624" t="s">
        <v>590</v>
      </c>
      <c r="F624">
        <v>73129</v>
      </c>
      <c r="G624" t="s">
        <v>594</v>
      </c>
      <c r="J624" t="s">
        <v>611</v>
      </c>
      <c r="K624">
        <f t="shared" si="9"/>
        <v>73129</v>
      </c>
    </row>
    <row r="625" spans="1:11" x14ac:dyDescent="0.45">
      <c r="A625" t="s">
        <v>411</v>
      </c>
      <c r="B625" t="s">
        <v>565</v>
      </c>
      <c r="E625" t="s">
        <v>592</v>
      </c>
      <c r="F625">
        <v>111198</v>
      </c>
      <c r="G625" t="s">
        <v>598</v>
      </c>
      <c r="H625" t="s">
        <v>604</v>
      </c>
      <c r="I625">
        <v>10.91</v>
      </c>
      <c r="J625" t="s">
        <v>607</v>
      </c>
      <c r="K625">
        <f t="shared" si="9"/>
        <v>-111198</v>
      </c>
    </row>
    <row r="626" spans="1:11" x14ac:dyDescent="0.45">
      <c r="A626" t="s">
        <v>183</v>
      </c>
      <c r="B626" t="s">
        <v>565</v>
      </c>
      <c r="D626" t="s">
        <v>583</v>
      </c>
      <c r="E626" t="s">
        <v>591</v>
      </c>
      <c r="F626">
        <v>19545</v>
      </c>
      <c r="G626" t="s">
        <v>598</v>
      </c>
      <c r="J626" t="s">
        <v>612</v>
      </c>
      <c r="K626">
        <f t="shared" si="9"/>
        <v>-19545</v>
      </c>
    </row>
    <row r="627" spans="1:11" x14ac:dyDescent="0.45">
      <c r="A627" t="s">
        <v>183</v>
      </c>
      <c r="B627" t="s">
        <v>565</v>
      </c>
      <c r="D627" t="s">
        <v>586</v>
      </c>
      <c r="E627" t="s">
        <v>591</v>
      </c>
      <c r="F627">
        <v>15399</v>
      </c>
      <c r="G627" t="s">
        <v>594</v>
      </c>
      <c r="J627" t="s">
        <v>609</v>
      </c>
      <c r="K627">
        <f t="shared" si="9"/>
        <v>-15399</v>
      </c>
    </row>
    <row r="628" spans="1:11" x14ac:dyDescent="0.45">
      <c r="A628" t="s">
        <v>310</v>
      </c>
      <c r="B628" t="s">
        <v>565</v>
      </c>
      <c r="D628" t="s">
        <v>588</v>
      </c>
      <c r="E628" t="s">
        <v>591</v>
      </c>
      <c r="F628">
        <v>7313</v>
      </c>
      <c r="G628" t="s">
        <v>598</v>
      </c>
      <c r="J628" t="s">
        <v>607</v>
      </c>
      <c r="K628">
        <f t="shared" si="9"/>
        <v>-7313</v>
      </c>
    </row>
    <row r="629" spans="1:11" x14ac:dyDescent="0.45">
      <c r="A629" t="s">
        <v>310</v>
      </c>
      <c r="B629" t="s">
        <v>565</v>
      </c>
      <c r="D629" t="s">
        <v>589</v>
      </c>
      <c r="E629" t="s">
        <v>591</v>
      </c>
      <c r="F629">
        <v>47966</v>
      </c>
      <c r="G629" t="s">
        <v>598</v>
      </c>
      <c r="J629" t="s">
        <v>611</v>
      </c>
      <c r="K629">
        <f t="shared" si="9"/>
        <v>-47966</v>
      </c>
    </row>
    <row r="630" spans="1:11" x14ac:dyDescent="0.45">
      <c r="A630" t="s">
        <v>152</v>
      </c>
      <c r="B630" t="s">
        <v>565</v>
      </c>
      <c r="D630" t="s">
        <v>583</v>
      </c>
      <c r="E630" t="s">
        <v>591</v>
      </c>
      <c r="F630">
        <v>6545</v>
      </c>
      <c r="G630" t="s">
        <v>597</v>
      </c>
      <c r="J630" t="s">
        <v>607</v>
      </c>
      <c r="K630">
        <f t="shared" si="9"/>
        <v>-6545</v>
      </c>
    </row>
    <row r="631" spans="1:11" x14ac:dyDescent="0.45">
      <c r="A631" t="s">
        <v>152</v>
      </c>
      <c r="B631" t="s">
        <v>565</v>
      </c>
      <c r="C631" t="s">
        <v>576</v>
      </c>
      <c r="E631" t="s">
        <v>590</v>
      </c>
      <c r="F631">
        <v>51642</v>
      </c>
      <c r="G631" t="s">
        <v>596</v>
      </c>
      <c r="J631" t="s">
        <v>608</v>
      </c>
      <c r="K631">
        <f t="shared" si="9"/>
        <v>51642</v>
      </c>
    </row>
    <row r="632" spans="1:11" x14ac:dyDescent="0.45">
      <c r="A632" t="s">
        <v>152</v>
      </c>
      <c r="B632" t="s">
        <v>565</v>
      </c>
      <c r="E632" t="s">
        <v>592</v>
      </c>
      <c r="F632">
        <v>9654</v>
      </c>
      <c r="G632" t="s">
        <v>594</v>
      </c>
      <c r="H632" t="s">
        <v>601</v>
      </c>
      <c r="I632">
        <v>4.96</v>
      </c>
      <c r="J632" t="s">
        <v>612</v>
      </c>
      <c r="K632">
        <f t="shared" si="9"/>
        <v>-9654</v>
      </c>
    </row>
    <row r="633" spans="1:11" x14ac:dyDescent="0.45">
      <c r="A633" t="s">
        <v>152</v>
      </c>
      <c r="B633" t="s">
        <v>565</v>
      </c>
      <c r="E633" t="s">
        <v>592</v>
      </c>
      <c r="F633">
        <v>18103</v>
      </c>
      <c r="G633" t="s">
        <v>595</v>
      </c>
      <c r="H633" t="s">
        <v>599</v>
      </c>
      <c r="I633">
        <v>7.3</v>
      </c>
      <c r="J633" t="s">
        <v>606</v>
      </c>
      <c r="K633">
        <f t="shared" si="9"/>
        <v>-18103</v>
      </c>
    </row>
    <row r="634" spans="1:11" x14ac:dyDescent="0.45">
      <c r="A634" t="s">
        <v>241</v>
      </c>
      <c r="B634" t="s">
        <v>565</v>
      </c>
      <c r="C634" t="s">
        <v>577</v>
      </c>
      <c r="E634" t="s">
        <v>590</v>
      </c>
      <c r="F634">
        <v>146027</v>
      </c>
      <c r="G634" t="s">
        <v>597</v>
      </c>
      <c r="J634" t="s">
        <v>607</v>
      </c>
      <c r="K634">
        <f t="shared" si="9"/>
        <v>146027</v>
      </c>
    </row>
    <row r="635" spans="1:11" x14ac:dyDescent="0.45">
      <c r="A635" t="s">
        <v>241</v>
      </c>
      <c r="B635" t="s">
        <v>565</v>
      </c>
      <c r="C635" t="s">
        <v>578</v>
      </c>
      <c r="E635" t="s">
        <v>590</v>
      </c>
      <c r="F635">
        <v>16774</v>
      </c>
      <c r="G635" t="s">
        <v>595</v>
      </c>
      <c r="J635" t="s">
        <v>611</v>
      </c>
      <c r="K635">
        <f t="shared" si="9"/>
        <v>16774</v>
      </c>
    </row>
    <row r="636" spans="1:11" x14ac:dyDescent="0.45">
      <c r="A636" t="s">
        <v>241</v>
      </c>
      <c r="B636" t="s">
        <v>565</v>
      </c>
      <c r="D636" t="s">
        <v>585</v>
      </c>
      <c r="E636" t="s">
        <v>591</v>
      </c>
      <c r="F636">
        <v>8472</v>
      </c>
      <c r="G636" t="s">
        <v>594</v>
      </c>
      <c r="J636" t="s">
        <v>607</v>
      </c>
      <c r="K636">
        <f t="shared" si="9"/>
        <v>-8472</v>
      </c>
    </row>
    <row r="637" spans="1:11" x14ac:dyDescent="0.45">
      <c r="A637" t="s">
        <v>241</v>
      </c>
      <c r="B637" t="s">
        <v>565</v>
      </c>
      <c r="E637" t="s">
        <v>592</v>
      </c>
      <c r="F637">
        <v>68922</v>
      </c>
      <c r="G637" t="s">
        <v>598</v>
      </c>
      <c r="H637" t="s">
        <v>603</v>
      </c>
      <c r="I637">
        <v>4.78</v>
      </c>
      <c r="J637" t="s">
        <v>606</v>
      </c>
      <c r="K637">
        <f t="shared" si="9"/>
        <v>-68922</v>
      </c>
    </row>
    <row r="638" spans="1:11" x14ac:dyDescent="0.45">
      <c r="A638" t="s">
        <v>241</v>
      </c>
      <c r="B638" t="s">
        <v>565</v>
      </c>
      <c r="D638" t="s">
        <v>587</v>
      </c>
      <c r="E638" t="s">
        <v>591</v>
      </c>
      <c r="F638">
        <v>312</v>
      </c>
      <c r="G638" t="s">
        <v>593</v>
      </c>
      <c r="J638" t="s">
        <v>607</v>
      </c>
      <c r="K638">
        <f t="shared" si="9"/>
        <v>-312</v>
      </c>
    </row>
    <row r="639" spans="1:11" x14ac:dyDescent="0.45">
      <c r="A639" t="s">
        <v>241</v>
      </c>
      <c r="B639" t="s">
        <v>565</v>
      </c>
      <c r="E639" t="s">
        <v>592</v>
      </c>
      <c r="F639">
        <v>58066</v>
      </c>
      <c r="G639" t="s">
        <v>597</v>
      </c>
      <c r="H639" t="s">
        <v>602</v>
      </c>
      <c r="I639">
        <v>18.38</v>
      </c>
      <c r="J639" t="s">
        <v>614</v>
      </c>
      <c r="K639">
        <f t="shared" si="9"/>
        <v>-58066</v>
      </c>
    </row>
    <row r="640" spans="1:11" x14ac:dyDescent="0.45">
      <c r="A640" t="s">
        <v>334</v>
      </c>
      <c r="B640" t="s">
        <v>565</v>
      </c>
      <c r="C640" t="s">
        <v>577</v>
      </c>
      <c r="E640" t="s">
        <v>590</v>
      </c>
      <c r="F640">
        <v>107320</v>
      </c>
      <c r="G640" t="s">
        <v>593</v>
      </c>
      <c r="J640" t="s">
        <v>612</v>
      </c>
      <c r="K640">
        <f t="shared" si="9"/>
        <v>107320</v>
      </c>
    </row>
    <row r="641" spans="1:11" x14ac:dyDescent="0.45">
      <c r="A641" t="s">
        <v>151</v>
      </c>
      <c r="B641" t="s">
        <v>565</v>
      </c>
      <c r="E641" t="s">
        <v>592</v>
      </c>
      <c r="F641">
        <v>21181</v>
      </c>
      <c r="G641" t="s">
        <v>598</v>
      </c>
      <c r="H641" t="s">
        <v>603</v>
      </c>
      <c r="I641">
        <v>6.43</v>
      </c>
      <c r="J641" t="s">
        <v>609</v>
      </c>
      <c r="K641">
        <f t="shared" si="9"/>
        <v>-21181</v>
      </c>
    </row>
    <row r="642" spans="1:11" x14ac:dyDescent="0.45">
      <c r="A642" t="s">
        <v>151</v>
      </c>
      <c r="B642" t="s">
        <v>565</v>
      </c>
      <c r="D642" t="s">
        <v>583</v>
      </c>
      <c r="E642" t="s">
        <v>591</v>
      </c>
      <c r="F642">
        <v>16779</v>
      </c>
      <c r="G642" t="s">
        <v>597</v>
      </c>
      <c r="J642" t="s">
        <v>614</v>
      </c>
      <c r="K642">
        <f t="shared" ref="K642:K705" si="10">IF(E642= "Income", F642, -F642)</f>
        <v>-16779</v>
      </c>
    </row>
    <row r="643" spans="1:11" x14ac:dyDescent="0.45">
      <c r="A643" t="s">
        <v>47</v>
      </c>
      <c r="B643" t="s">
        <v>565</v>
      </c>
      <c r="C643" t="s">
        <v>581</v>
      </c>
      <c r="E643" t="s">
        <v>590</v>
      </c>
      <c r="F643">
        <v>131164</v>
      </c>
      <c r="G643" t="s">
        <v>597</v>
      </c>
      <c r="J643" t="s">
        <v>610</v>
      </c>
      <c r="K643">
        <f t="shared" si="10"/>
        <v>131164</v>
      </c>
    </row>
    <row r="644" spans="1:11" x14ac:dyDescent="0.45">
      <c r="A644" t="s">
        <v>47</v>
      </c>
      <c r="B644" t="s">
        <v>565</v>
      </c>
      <c r="D644" t="s">
        <v>584</v>
      </c>
      <c r="E644" t="s">
        <v>591</v>
      </c>
      <c r="F644">
        <v>6125</v>
      </c>
      <c r="G644" t="s">
        <v>594</v>
      </c>
      <c r="J644" t="s">
        <v>614</v>
      </c>
      <c r="K644">
        <f t="shared" si="10"/>
        <v>-6125</v>
      </c>
    </row>
    <row r="645" spans="1:11" x14ac:dyDescent="0.45">
      <c r="A645" t="s">
        <v>47</v>
      </c>
      <c r="B645" t="s">
        <v>565</v>
      </c>
      <c r="C645" t="s">
        <v>579</v>
      </c>
      <c r="E645" t="s">
        <v>590</v>
      </c>
      <c r="F645">
        <v>63352</v>
      </c>
      <c r="G645" t="s">
        <v>593</v>
      </c>
      <c r="J645" t="s">
        <v>614</v>
      </c>
      <c r="K645">
        <f t="shared" si="10"/>
        <v>63352</v>
      </c>
    </row>
    <row r="646" spans="1:11" x14ac:dyDescent="0.45">
      <c r="A646" t="s">
        <v>323</v>
      </c>
      <c r="B646" t="s">
        <v>565</v>
      </c>
      <c r="E646" t="s">
        <v>592</v>
      </c>
      <c r="F646">
        <v>118180</v>
      </c>
      <c r="G646" t="s">
        <v>597</v>
      </c>
      <c r="H646" t="s">
        <v>600</v>
      </c>
      <c r="I646">
        <v>26.61</v>
      </c>
      <c r="J646" t="s">
        <v>607</v>
      </c>
      <c r="K646">
        <f t="shared" si="10"/>
        <v>-118180</v>
      </c>
    </row>
    <row r="647" spans="1:11" x14ac:dyDescent="0.45">
      <c r="A647" t="s">
        <v>323</v>
      </c>
      <c r="B647" t="s">
        <v>565</v>
      </c>
      <c r="D647" t="s">
        <v>585</v>
      </c>
      <c r="E647" t="s">
        <v>591</v>
      </c>
      <c r="F647">
        <v>5951</v>
      </c>
      <c r="G647" t="s">
        <v>594</v>
      </c>
      <c r="J647" t="s">
        <v>613</v>
      </c>
      <c r="K647">
        <f t="shared" si="10"/>
        <v>-5951</v>
      </c>
    </row>
    <row r="648" spans="1:11" x14ac:dyDescent="0.45">
      <c r="A648" t="s">
        <v>323</v>
      </c>
      <c r="B648" t="s">
        <v>565</v>
      </c>
      <c r="D648" t="s">
        <v>587</v>
      </c>
      <c r="E648" t="s">
        <v>591</v>
      </c>
      <c r="F648">
        <v>1502</v>
      </c>
      <c r="G648" t="s">
        <v>594</v>
      </c>
      <c r="J648" t="s">
        <v>612</v>
      </c>
      <c r="K648">
        <f t="shared" si="10"/>
        <v>-1502</v>
      </c>
    </row>
    <row r="649" spans="1:11" x14ac:dyDescent="0.45">
      <c r="A649" t="s">
        <v>92</v>
      </c>
      <c r="B649" t="s">
        <v>565</v>
      </c>
      <c r="D649" t="s">
        <v>588</v>
      </c>
      <c r="E649" t="s">
        <v>591</v>
      </c>
      <c r="F649">
        <v>7751</v>
      </c>
      <c r="G649" t="s">
        <v>597</v>
      </c>
      <c r="J649" t="s">
        <v>607</v>
      </c>
      <c r="K649">
        <f t="shared" si="10"/>
        <v>-7751</v>
      </c>
    </row>
    <row r="650" spans="1:11" x14ac:dyDescent="0.45">
      <c r="A650" t="s">
        <v>92</v>
      </c>
      <c r="B650" t="s">
        <v>565</v>
      </c>
      <c r="D650" t="s">
        <v>589</v>
      </c>
      <c r="E650" t="s">
        <v>591</v>
      </c>
      <c r="F650">
        <v>45638</v>
      </c>
      <c r="G650" t="s">
        <v>597</v>
      </c>
      <c r="J650" t="s">
        <v>608</v>
      </c>
      <c r="K650">
        <f t="shared" si="10"/>
        <v>-45638</v>
      </c>
    </row>
    <row r="651" spans="1:11" x14ac:dyDescent="0.45">
      <c r="A651" t="s">
        <v>92</v>
      </c>
      <c r="B651" t="s">
        <v>565</v>
      </c>
      <c r="D651" t="s">
        <v>582</v>
      </c>
      <c r="E651" t="s">
        <v>591</v>
      </c>
      <c r="F651">
        <v>10002</v>
      </c>
      <c r="G651" t="s">
        <v>593</v>
      </c>
      <c r="J651" t="s">
        <v>611</v>
      </c>
      <c r="K651">
        <f t="shared" si="10"/>
        <v>-10002</v>
      </c>
    </row>
    <row r="652" spans="1:11" x14ac:dyDescent="0.45">
      <c r="A652" t="s">
        <v>84</v>
      </c>
      <c r="B652" t="s">
        <v>565</v>
      </c>
      <c r="D652" t="s">
        <v>586</v>
      </c>
      <c r="E652" t="s">
        <v>591</v>
      </c>
      <c r="F652">
        <v>17250</v>
      </c>
      <c r="G652" t="s">
        <v>595</v>
      </c>
      <c r="J652" t="s">
        <v>612</v>
      </c>
      <c r="K652">
        <f t="shared" si="10"/>
        <v>-17250</v>
      </c>
    </row>
    <row r="653" spans="1:11" x14ac:dyDescent="0.45">
      <c r="A653" t="s">
        <v>84</v>
      </c>
      <c r="B653" t="s">
        <v>565</v>
      </c>
      <c r="E653" t="s">
        <v>592</v>
      </c>
      <c r="F653">
        <v>72643</v>
      </c>
      <c r="G653" t="s">
        <v>595</v>
      </c>
      <c r="H653" t="s">
        <v>603</v>
      </c>
      <c r="I653">
        <v>-8.2100000000000009</v>
      </c>
      <c r="J653" t="s">
        <v>611</v>
      </c>
      <c r="K653">
        <f t="shared" si="10"/>
        <v>-72643</v>
      </c>
    </row>
    <row r="654" spans="1:11" x14ac:dyDescent="0.45">
      <c r="A654" t="s">
        <v>84</v>
      </c>
      <c r="B654" t="s">
        <v>565</v>
      </c>
      <c r="D654" t="s">
        <v>587</v>
      </c>
      <c r="E654" t="s">
        <v>591</v>
      </c>
      <c r="F654">
        <v>422</v>
      </c>
      <c r="G654" t="s">
        <v>595</v>
      </c>
      <c r="J654" t="s">
        <v>609</v>
      </c>
      <c r="K654">
        <f t="shared" si="10"/>
        <v>-422</v>
      </c>
    </row>
    <row r="655" spans="1:11" x14ac:dyDescent="0.45">
      <c r="A655" t="s">
        <v>408</v>
      </c>
      <c r="B655" t="s">
        <v>565</v>
      </c>
      <c r="D655" t="s">
        <v>582</v>
      </c>
      <c r="E655" t="s">
        <v>591</v>
      </c>
      <c r="F655">
        <v>43122</v>
      </c>
      <c r="G655" t="s">
        <v>596</v>
      </c>
      <c r="J655" t="s">
        <v>605</v>
      </c>
      <c r="K655">
        <f t="shared" si="10"/>
        <v>-43122</v>
      </c>
    </row>
    <row r="656" spans="1:11" x14ac:dyDescent="0.45">
      <c r="A656" t="s">
        <v>408</v>
      </c>
      <c r="B656" t="s">
        <v>565</v>
      </c>
      <c r="D656" t="s">
        <v>585</v>
      </c>
      <c r="E656" t="s">
        <v>591</v>
      </c>
      <c r="F656">
        <v>954</v>
      </c>
      <c r="G656" t="s">
        <v>593</v>
      </c>
      <c r="J656" t="s">
        <v>611</v>
      </c>
      <c r="K656">
        <f t="shared" si="10"/>
        <v>-954</v>
      </c>
    </row>
    <row r="657" spans="1:11" x14ac:dyDescent="0.45">
      <c r="A657" t="s">
        <v>44</v>
      </c>
      <c r="B657" t="s">
        <v>565</v>
      </c>
      <c r="E657" t="s">
        <v>592</v>
      </c>
      <c r="F657">
        <v>46129</v>
      </c>
      <c r="G657" t="s">
        <v>598</v>
      </c>
      <c r="H657" t="s">
        <v>599</v>
      </c>
      <c r="I657">
        <v>13.1</v>
      </c>
      <c r="J657" t="s">
        <v>610</v>
      </c>
      <c r="K657">
        <f t="shared" si="10"/>
        <v>-46129</v>
      </c>
    </row>
    <row r="658" spans="1:11" x14ac:dyDescent="0.45">
      <c r="A658" t="s">
        <v>44</v>
      </c>
      <c r="B658" t="s">
        <v>565</v>
      </c>
      <c r="D658" t="s">
        <v>584</v>
      </c>
      <c r="E658" t="s">
        <v>591</v>
      </c>
      <c r="F658">
        <v>4274</v>
      </c>
      <c r="G658" t="s">
        <v>594</v>
      </c>
      <c r="J658" t="s">
        <v>610</v>
      </c>
      <c r="K658">
        <f t="shared" si="10"/>
        <v>-4274</v>
      </c>
    </row>
    <row r="659" spans="1:11" x14ac:dyDescent="0.45">
      <c r="A659" t="s">
        <v>29</v>
      </c>
      <c r="B659" t="s">
        <v>565</v>
      </c>
      <c r="D659" t="s">
        <v>587</v>
      </c>
      <c r="E659" t="s">
        <v>591</v>
      </c>
      <c r="F659">
        <v>2936</v>
      </c>
      <c r="G659" t="s">
        <v>598</v>
      </c>
      <c r="J659" t="s">
        <v>610</v>
      </c>
      <c r="K659">
        <f t="shared" si="10"/>
        <v>-2936</v>
      </c>
    </row>
    <row r="660" spans="1:11" x14ac:dyDescent="0.45">
      <c r="A660" t="s">
        <v>331</v>
      </c>
      <c r="B660" t="s">
        <v>565</v>
      </c>
      <c r="D660" t="s">
        <v>588</v>
      </c>
      <c r="E660" t="s">
        <v>591</v>
      </c>
      <c r="F660">
        <v>3828</v>
      </c>
      <c r="G660" t="s">
        <v>596</v>
      </c>
      <c r="J660" t="s">
        <v>611</v>
      </c>
      <c r="K660">
        <f t="shared" si="10"/>
        <v>-3828</v>
      </c>
    </row>
    <row r="661" spans="1:11" x14ac:dyDescent="0.45">
      <c r="A661" t="s">
        <v>331</v>
      </c>
      <c r="B661" t="s">
        <v>565</v>
      </c>
      <c r="D661" t="s">
        <v>589</v>
      </c>
      <c r="E661" t="s">
        <v>591</v>
      </c>
      <c r="F661">
        <v>50510</v>
      </c>
      <c r="G661" t="s">
        <v>595</v>
      </c>
      <c r="J661" t="s">
        <v>609</v>
      </c>
      <c r="K661">
        <f t="shared" si="10"/>
        <v>-50510</v>
      </c>
    </row>
    <row r="662" spans="1:11" x14ac:dyDescent="0.45">
      <c r="A662" t="s">
        <v>73</v>
      </c>
      <c r="B662" t="s">
        <v>565</v>
      </c>
      <c r="C662" t="s">
        <v>577</v>
      </c>
      <c r="E662" t="s">
        <v>590</v>
      </c>
      <c r="F662">
        <v>135665</v>
      </c>
      <c r="G662" t="s">
        <v>596</v>
      </c>
      <c r="J662" t="s">
        <v>609</v>
      </c>
      <c r="K662">
        <f t="shared" si="10"/>
        <v>135665</v>
      </c>
    </row>
    <row r="663" spans="1:11" x14ac:dyDescent="0.45">
      <c r="A663" t="s">
        <v>73</v>
      </c>
      <c r="B663" t="s">
        <v>565</v>
      </c>
      <c r="C663" t="s">
        <v>580</v>
      </c>
      <c r="E663" t="s">
        <v>590</v>
      </c>
      <c r="F663">
        <v>90524</v>
      </c>
      <c r="G663" t="s">
        <v>598</v>
      </c>
      <c r="J663" t="s">
        <v>609</v>
      </c>
      <c r="K663">
        <f t="shared" si="10"/>
        <v>90524</v>
      </c>
    </row>
    <row r="664" spans="1:11" x14ac:dyDescent="0.45">
      <c r="A664" t="s">
        <v>311</v>
      </c>
      <c r="B664" t="s">
        <v>565</v>
      </c>
      <c r="D664" t="s">
        <v>586</v>
      </c>
      <c r="E664" t="s">
        <v>591</v>
      </c>
      <c r="F664">
        <v>8608</v>
      </c>
      <c r="G664" t="s">
        <v>598</v>
      </c>
      <c r="J664" t="s">
        <v>608</v>
      </c>
      <c r="K664">
        <f t="shared" si="10"/>
        <v>-8608</v>
      </c>
    </row>
    <row r="665" spans="1:11" x14ac:dyDescent="0.45">
      <c r="A665" t="s">
        <v>419</v>
      </c>
      <c r="B665" t="s">
        <v>565</v>
      </c>
      <c r="D665" t="s">
        <v>586</v>
      </c>
      <c r="E665" t="s">
        <v>591</v>
      </c>
      <c r="F665">
        <v>5730</v>
      </c>
      <c r="G665" t="s">
        <v>594</v>
      </c>
      <c r="J665" t="s">
        <v>605</v>
      </c>
      <c r="K665">
        <f t="shared" si="10"/>
        <v>-5730</v>
      </c>
    </row>
    <row r="666" spans="1:11" x14ac:dyDescent="0.45">
      <c r="A666" t="s">
        <v>539</v>
      </c>
      <c r="B666" t="s">
        <v>565</v>
      </c>
      <c r="D666" t="s">
        <v>584</v>
      </c>
      <c r="E666" t="s">
        <v>591</v>
      </c>
      <c r="F666">
        <v>2846</v>
      </c>
      <c r="G666" t="s">
        <v>593</v>
      </c>
      <c r="J666" t="s">
        <v>606</v>
      </c>
      <c r="K666">
        <f t="shared" si="10"/>
        <v>-2846</v>
      </c>
    </row>
    <row r="667" spans="1:11" x14ac:dyDescent="0.45">
      <c r="A667" t="s">
        <v>559</v>
      </c>
      <c r="B667" t="s">
        <v>565</v>
      </c>
      <c r="C667" t="s">
        <v>580</v>
      </c>
      <c r="E667" t="s">
        <v>590</v>
      </c>
      <c r="F667">
        <v>74316</v>
      </c>
      <c r="G667" t="s">
        <v>594</v>
      </c>
      <c r="J667" t="s">
        <v>614</v>
      </c>
      <c r="K667">
        <f t="shared" si="10"/>
        <v>74316</v>
      </c>
    </row>
    <row r="668" spans="1:11" x14ac:dyDescent="0.45">
      <c r="A668" t="s">
        <v>528</v>
      </c>
      <c r="B668" t="s">
        <v>564</v>
      </c>
      <c r="E668" t="s">
        <v>592</v>
      </c>
      <c r="F668">
        <v>31481</v>
      </c>
      <c r="G668" t="s">
        <v>596</v>
      </c>
      <c r="H668" t="s">
        <v>599</v>
      </c>
      <c r="I668">
        <v>17.02</v>
      </c>
      <c r="J668" t="s">
        <v>611</v>
      </c>
      <c r="K668">
        <f t="shared" si="10"/>
        <v>-31481</v>
      </c>
    </row>
    <row r="669" spans="1:11" x14ac:dyDescent="0.45">
      <c r="A669" t="s">
        <v>386</v>
      </c>
      <c r="B669" t="s">
        <v>564</v>
      </c>
      <c r="C669" t="s">
        <v>579</v>
      </c>
      <c r="E669" t="s">
        <v>590</v>
      </c>
      <c r="F669">
        <v>38417</v>
      </c>
      <c r="G669" t="s">
        <v>598</v>
      </c>
      <c r="J669" t="s">
        <v>610</v>
      </c>
      <c r="K669">
        <f t="shared" si="10"/>
        <v>38417</v>
      </c>
    </row>
    <row r="670" spans="1:11" x14ac:dyDescent="0.45">
      <c r="A670" t="s">
        <v>386</v>
      </c>
      <c r="B670" t="s">
        <v>564</v>
      </c>
      <c r="E670" t="s">
        <v>592</v>
      </c>
      <c r="F670">
        <v>34930</v>
      </c>
      <c r="G670" t="s">
        <v>598</v>
      </c>
      <c r="H670" t="s">
        <v>599</v>
      </c>
      <c r="I670">
        <v>-7.0000000000000007E-2</v>
      </c>
      <c r="J670" t="s">
        <v>612</v>
      </c>
      <c r="K670">
        <f t="shared" si="10"/>
        <v>-34930</v>
      </c>
    </row>
    <row r="671" spans="1:11" x14ac:dyDescent="0.45">
      <c r="A671" t="s">
        <v>268</v>
      </c>
      <c r="B671" t="s">
        <v>564</v>
      </c>
      <c r="D671" t="s">
        <v>583</v>
      </c>
      <c r="E671" t="s">
        <v>591</v>
      </c>
      <c r="F671">
        <v>19138</v>
      </c>
      <c r="G671" t="s">
        <v>594</v>
      </c>
      <c r="J671" t="s">
        <v>612</v>
      </c>
      <c r="K671">
        <f t="shared" si="10"/>
        <v>-19138</v>
      </c>
    </row>
    <row r="672" spans="1:11" x14ac:dyDescent="0.45">
      <c r="A672" t="s">
        <v>268</v>
      </c>
      <c r="B672" t="s">
        <v>564</v>
      </c>
      <c r="D672" t="s">
        <v>583</v>
      </c>
      <c r="E672" t="s">
        <v>591</v>
      </c>
      <c r="F672">
        <v>10757</v>
      </c>
      <c r="G672" t="s">
        <v>596</v>
      </c>
      <c r="J672" t="s">
        <v>613</v>
      </c>
      <c r="K672">
        <f t="shared" si="10"/>
        <v>-10757</v>
      </c>
    </row>
    <row r="673" spans="1:11" x14ac:dyDescent="0.45">
      <c r="A673" t="s">
        <v>474</v>
      </c>
      <c r="B673" t="s">
        <v>564</v>
      </c>
      <c r="D673" t="s">
        <v>583</v>
      </c>
      <c r="E673" t="s">
        <v>591</v>
      </c>
      <c r="F673">
        <v>5171</v>
      </c>
      <c r="G673" t="s">
        <v>597</v>
      </c>
      <c r="J673" t="s">
        <v>608</v>
      </c>
      <c r="K673">
        <f t="shared" si="10"/>
        <v>-5171</v>
      </c>
    </row>
    <row r="674" spans="1:11" x14ac:dyDescent="0.45">
      <c r="A674" t="s">
        <v>362</v>
      </c>
      <c r="B674" t="s">
        <v>564</v>
      </c>
      <c r="D674" t="s">
        <v>582</v>
      </c>
      <c r="E674" t="s">
        <v>591</v>
      </c>
      <c r="F674">
        <v>36715</v>
      </c>
      <c r="G674" t="s">
        <v>598</v>
      </c>
      <c r="J674" t="s">
        <v>613</v>
      </c>
      <c r="K674">
        <f t="shared" si="10"/>
        <v>-36715</v>
      </c>
    </row>
    <row r="675" spans="1:11" x14ac:dyDescent="0.45">
      <c r="A675" t="s">
        <v>362</v>
      </c>
      <c r="B675" t="s">
        <v>564</v>
      </c>
      <c r="E675" t="s">
        <v>592</v>
      </c>
      <c r="F675">
        <v>28953</v>
      </c>
      <c r="G675" t="s">
        <v>594</v>
      </c>
      <c r="H675" t="s">
        <v>599</v>
      </c>
      <c r="I675">
        <v>3.95</v>
      </c>
      <c r="J675" t="s">
        <v>609</v>
      </c>
      <c r="K675">
        <f t="shared" si="10"/>
        <v>-28953</v>
      </c>
    </row>
    <row r="676" spans="1:11" x14ac:dyDescent="0.45">
      <c r="A676" t="s">
        <v>115</v>
      </c>
      <c r="B676" t="s">
        <v>564</v>
      </c>
      <c r="D676" t="s">
        <v>584</v>
      </c>
      <c r="E676" t="s">
        <v>591</v>
      </c>
      <c r="F676">
        <v>2840</v>
      </c>
      <c r="G676" t="s">
        <v>593</v>
      </c>
      <c r="J676" t="s">
        <v>610</v>
      </c>
      <c r="K676">
        <f t="shared" si="10"/>
        <v>-2840</v>
      </c>
    </row>
    <row r="677" spans="1:11" x14ac:dyDescent="0.45">
      <c r="A677" t="s">
        <v>115</v>
      </c>
      <c r="B677" t="s">
        <v>564</v>
      </c>
      <c r="D677" t="s">
        <v>588</v>
      </c>
      <c r="E677" t="s">
        <v>591</v>
      </c>
      <c r="F677">
        <v>10439</v>
      </c>
      <c r="G677" t="s">
        <v>593</v>
      </c>
      <c r="J677" t="s">
        <v>611</v>
      </c>
      <c r="K677">
        <f t="shared" si="10"/>
        <v>-10439</v>
      </c>
    </row>
    <row r="678" spans="1:11" x14ac:dyDescent="0.45">
      <c r="A678" t="s">
        <v>540</v>
      </c>
      <c r="B678" t="s">
        <v>564</v>
      </c>
      <c r="D678" t="s">
        <v>584</v>
      </c>
      <c r="E678" t="s">
        <v>591</v>
      </c>
      <c r="F678">
        <v>4646</v>
      </c>
      <c r="G678" t="s">
        <v>598</v>
      </c>
      <c r="J678" t="s">
        <v>613</v>
      </c>
      <c r="K678">
        <f t="shared" si="10"/>
        <v>-4646</v>
      </c>
    </row>
    <row r="679" spans="1:11" x14ac:dyDescent="0.45">
      <c r="A679" t="s">
        <v>208</v>
      </c>
      <c r="B679" t="s">
        <v>564</v>
      </c>
      <c r="D679" t="s">
        <v>583</v>
      </c>
      <c r="E679" t="s">
        <v>591</v>
      </c>
      <c r="F679">
        <v>9251</v>
      </c>
      <c r="G679" t="s">
        <v>593</v>
      </c>
      <c r="J679" t="s">
        <v>607</v>
      </c>
      <c r="K679">
        <f t="shared" si="10"/>
        <v>-9251</v>
      </c>
    </row>
    <row r="680" spans="1:11" x14ac:dyDescent="0.45">
      <c r="A680" t="s">
        <v>210</v>
      </c>
      <c r="B680" t="s">
        <v>564</v>
      </c>
      <c r="D680" t="s">
        <v>584</v>
      </c>
      <c r="E680" t="s">
        <v>591</v>
      </c>
      <c r="F680">
        <v>572</v>
      </c>
      <c r="G680" t="s">
        <v>593</v>
      </c>
      <c r="J680" t="s">
        <v>614</v>
      </c>
      <c r="K680">
        <f t="shared" si="10"/>
        <v>-572</v>
      </c>
    </row>
    <row r="681" spans="1:11" x14ac:dyDescent="0.45">
      <c r="A681" t="s">
        <v>546</v>
      </c>
      <c r="B681" t="s">
        <v>564</v>
      </c>
      <c r="E681" t="s">
        <v>592</v>
      </c>
      <c r="F681">
        <v>93123</v>
      </c>
      <c r="G681" t="s">
        <v>594</v>
      </c>
      <c r="H681" t="s">
        <v>603</v>
      </c>
      <c r="I681">
        <v>9.7799999999999994</v>
      </c>
      <c r="J681" t="s">
        <v>608</v>
      </c>
      <c r="K681">
        <f t="shared" si="10"/>
        <v>-93123</v>
      </c>
    </row>
    <row r="682" spans="1:11" x14ac:dyDescent="0.45">
      <c r="A682" t="s">
        <v>312</v>
      </c>
      <c r="B682" t="s">
        <v>564</v>
      </c>
      <c r="C682" t="s">
        <v>576</v>
      </c>
      <c r="E682" t="s">
        <v>590</v>
      </c>
      <c r="F682">
        <v>131780</v>
      </c>
      <c r="G682" t="s">
        <v>594</v>
      </c>
      <c r="J682" t="s">
        <v>613</v>
      </c>
      <c r="K682">
        <f t="shared" si="10"/>
        <v>131780</v>
      </c>
    </row>
    <row r="683" spans="1:11" x14ac:dyDescent="0.45">
      <c r="A683" t="s">
        <v>312</v>
      </c>
      <c r="B683" t="s">
        <v>564</v>
      </c>
      <c r="C683" t="s">
        <v>576</v>
      </c>
      <c r="E683" t="s">
        <v>590</v>
      </c>
      <c r="F683">
        <v>23089</v>
      </c>
      <c r="G683" t="s">
        <v>593</v>
      </c>
      <c r="J683" t="s">
        <v>609</v>
      </c>
      <c r="K683">
        <f t="shared" si="10"/>
        <v>23089</v>
      </c>
    </row>
    <row r="684" spans="1:11" x14ac:dyDescent="0.45">
      <c r="A684" t="s">
        <v>312</v>
      </c>
      <c r="B684" t="s">
        <v>564</v>
      </c>
      <c r="D684" t="s">
        <v>585</v>
      </c>
      <c r="E684" t="s">
        <v>591</v>
      </c>
      <c r="F684">
        <v>8075</v>
      </c>
      <c r="G684" t="s">
        <v>597</v>
      </c>
      <c r="J684" t="s">
        <v>607</v>
      </c>
      <c r="K684">
        <f t="shared" si="10"/>
        <v>-8075</v>
      </c>
    </row>
    <row r="685" spans="1:11" x14ac:dyDescent="0.45">
      <c r="A685" t="s">
        <v>376</v>
      </c>
      <c r="B685" t="s">
        <v>564</v>
      </c>
      <c r="C685" t="s">
        <v>575</v>
      </c>
      <c r="E685" t="s">
        <v>590</v>
      </c>
      <c r="F685">
        <v>85442</v>
      </c>
      <c r="G685" t="s">
        <v>598</v>
      </c>
      <c r="J685" t="s">
        <v>614</v>
      </c>
      <c r="K685">
        <f t="shared" si="10"/>
        <v>85442</v>
      </c>
    </row>
    <row r="686" spans="1:11" x14ac:dyDescent="0.45">
      <c r="A686" t="s">
        <v>376</v>
      </c>
      <c r="B686" t="s">
        <v>564</v>
      </c>
      <c r="D686" t="s">
        <v>582</v>
      </c>
      <c r="E686" t="s">
        <v>591</v>
      </c>
      <c r="F686">
        <v>16480</v>
      </c>
      <c r="G686" t="s">
        <v>597</v>
      </c>
      <c r="J686" t="s">
        <v>614</v>
      </c>
      <c r="K686">
        <f t="shared" si="10"/>
        <v>-16480</v>
      </c>
    </row>
    <row r="687" spans="1:11" x14ac:dyDescent="0.45">
      <c r="A687" t="s">
        <v>484</v>
      </c>
      <c r="B687" t="s">
        <v>564</v>
      </c>
      <c r="D687" t="s">
        <v>588</v>
      </c>
      <c r="E687" t="s">
        <v>591</v>
      </c>
      <c r="F687">
        <v>1694</v>
      </c>
      <c r="G687" t="s">
        <v>598</v>
      </c>
      <c r="J687" t="s">
        <v>611</v>
      </c>
      <c r="K687">
        <f t="shared" si="10"/>
        <v>-1694</v>
      </c>
    </row>
    <row r="688" spans="1:11" x14ac:dyDescent="0.45">
      <c r="A688" t="s">
        <v>484</v>
      </c>
      <c r="B688" t="s">
        <v>564</v>
      </c>
      <c r="C688" t="s">
        <v>577</v>
      </c>
      <c r="E688" t="s">
        <v>590</v>
      </c>
      <c r="F688">
        <v>148990</v>
      </c>
      <c r="G688" t="s">
        <v>596</v>
      </c>
      <c r="J688" t="s">
        <v>614</v>
      </c>
      <c r="K688">
        <f t="shared" si="10"/>
        <v>148990</v>
      </c>
    </row>
    <row r="689" spans="1:11" x14ac:dyDescent="0.45">
      <c r="A689" t="s">
        <v>130</v>
      </c>
      <c r="B689" t="s">
        <v>564</v>
      </c>
      <c r="C689" t="s">
        <v>575</v>
      </c>
      <c r="E689" t="s">
        <v>590</v>
      </c>
      <c r="F689">
        <v>29053</v>
      </c>
      <c r="G689" t="s">
        <v>593</v>
      </c>
      <c r="J689" t="s">
        <v>612</v>
      </c>
      <c r="K689">
        <f t="shared" si="10"/>
        <v>29053</v>
      </c>
    </row>
    <row r="690" spans="1:11" x14ac:dyDescent="0.45">
      <c r="A690" t="s">
        <v>130</v>
      </c>
      <c r="B690" t="s">
        <v>564</v>
      </c>
      <c r="C690" t="s">
        <v>581</v>
      </c>
      <c r="E690" t="s">
        <v>590</v>
      </c>
      <c r="F690">
        <v>54885</v>
      </c>
      <c r="G690" t="s">
        <v>594</v>
      </c>
      <c r="J690" t="s">
        <v>607</v>
      </c>
      <c r="K690">
        <f t="shared" si="10"/>
        <v>54885</v>
      </c>
    </row>
    <row r="691" spans="1:11" x14ac:dyDescent="0.45">
      <c r="A691" t="s">
        <v>182</v>
      </c>
      <c r="B691" t="s">
        <v>564</v>
      </c>
      <c r="C691" t="s">
        <v>580</v>
      </c>
      <c r="E691" t="s">
        <v>590</v>
      </c>
      <c r="F691">
        <v>155914</v>
      </c>
      <c r="G691" t="s">
        <v>593</v>
      </c>
      <c r="J691" t="s">
        <v>614</v>
      </c>
      <c r="K691">
        <f t="shared" si="10"/>
        <v>155914</v>
      </c>
    </row>
    <row r="692" spans="1:11" x14ac:dyDescent="0.45">
      <c r="A692" t="s">
        <v>182</v>
      </c>
      <c r="B692" t="s">
        <v>564</v>
      </c>
      <c r="E692" t="s">
        <v>592</v>
      </c>
      <c r="F692">
        <v>18892</v>
      </c>
      <c r="G692" t="s">
        <v>595</v>
      </c>
      <c r="H692" t="s">
        <v>601</v>
      </c>
      <c r="I692">
        <v>1.1399999999999999</v>
      </c>
      <c r="J692" t="s">
        <v>608</v>
      </c>
      <c r="K692">
        <f t="shared" si="10"/>
        <v>-18892</v>
      </c>
    </row>
    <row r="693" spans="1:11" x14ac:dyDescent="0.45">
      <c r="A693" t="s">
        <v>267</v>
      </c>
      <c r="B693" t="s">
        <v>564</v>
      </c>
      <c r="C693" t="s">
        <v>576</v>
      </c>
      <c r="E693" t="s">
        <v>590</v>
      </c>
      <c r="F693">
        <v>165019</v>
      </c>
      <c r="G693" t="s">
        <v>596</v>
      </c>
      <c r="J693" t="s">
        <v>613</v>
      </c>
      <c r="K693">
        <f t="shared" si="10"/>
        <v>165019</v>
      </c>
    </row>
    <row r="694" spans="1:11" x14ac:dyDescent="0.45">
      <c r="A694" t="s">
        <v>267</v>
      </c>
      <c r="B694" t="s">
        <v>564</v>
      </c>
      <c r="E694" t="s">
        <v>592</v>
      </c>
      <c r="F694">
        <v>146277</v>
      </c>
      <c r="G694" t="s">
        <v>593</v>
      </c>
      <c r="H694" t="s">
        <v>604</v>
      </c>
      <c r="I694">
        <v>17.7</v>
      </c>
      <c r="J694" t="s">
        <v>612</v>
      </c>
      <c r="K694">
        <f t="shared" si="10"/>
        <v>-146277</v>
      </c>
    </row>
    <row r="695" spans="1:11" x14ac:dyDescent="0.45">
      <c r="A695" t="s">
        <v>267</v>
      </c>
      <c r="B695" t="s">
        <v>564</v>
      </c>
      <c r="C695" t="s">
        <v>579</v>
      </c>
      <c r="E695" t="s">
        <v>590</v>
      </c>
      <c r="F695">
        <v>96677</v>
      </c>
      <c r="G695" t="s">
        <v>595</v>
      </c>
      <c r="J695" t="s">
        <v>611</v>
      </c>
      <c r="K695">
        <f t="shared" si="10"/>
        <v>96677</v>
      </c>
    </row>
    <row r="696" spans="1:11" x14ac:dyDescent="0.45">
      <c r="A696" t="s">
        <v>380</v>
      </c>
      <c r="B696" t="s">
        <v>564</v>
      </c>
      <c r="C696" t="s">
        <v>577</v>
      </c>
      <c r="E696" t="s">
        <v>590</v>
      </c>
      <c r="F696">
        <v>89342</v>
      </c>
      <c r="G696" t="s">
        <v>596</v>
      </c>
      <c r="J696" t="s">
        <v>607</v>
      </c>
      <c r="K696">
        <f t="shared" si="10"/>
        <v>89342</v>
      </c>
    </row>
    <row r="697" spans="1:11" x14ac:dyDescent="0.45">
      <c r="A697" t="s">
        <v>159</v>
      </c>
      <c r="B697" t="s">
        <v>564</v>
      </c>
      <c r="E697" t="s">
        <v>592</v>
      </c>
      <c r="F697">
        <v>134672</v>
      </c>
      <c r="G697" t="s">
        <v>596</v>
      </c>
      <c r="H697" t="s">
        <v>604</v>
      </c>
      <c r="I697">
        <v>26.51</v>
      </c>
      <c r="J697" t="s">
        <v>610</v>
      </c>
      <c r="K697">
        <f t="shared" si="10"/>
        <v>-134672</v>
      </c>
    </row>
    <row r="698" spans="1:11" x14ac:dyDescent="0.45">
      <c r="A698" t="s">
        <v>159</v>
      </c>
      <c r="B698" t="s">
        <v>564</v>
      </c>
      <c r="C698" t="s">
        <v>578</v>
      </c>
      <c r="E698" t="s">
        <v>590</v>
      </c>
      <c r="F698">
        <v>114917</v>
      </c>
      <c r="G698" t="s">
        <v>597</v>
      </c>
      <c r="J698" t="s">
        <v>611</v>
      </c>
      <c r="K698">
        <f t="shared" si="10"/>
        <v>114917</v>
      </c>
    </row>
    <row r="699" spans="1:11" x14ac:dyDescent="0.45">
      <c r="A699" t="s">
        <v>396</v>
      </c>
      <c r="B699" t="s">
        <v>564</v>
      </c>
      <c r="D699" t="s">
        <v>588</v>
      </c>
      <c r="E699" t="s">
        <v>591</v>
      </c>
      <c r="F699">
        <v>1408</v>
      </c>
      <c r="G699" t="s">
        <v>595</v>
      </c>
      <c r="J699" t="s">
        <v>608</v>
      </c>
      <c r="K699">
        <f t="shared" si="10"/>
        <v>-1408</v>
      </c>
    </row>
    <row r="700" spans="1:11" x14ac:dyDescent="0.45">
      <c r="A700" t="s">
        <v>417</v>
      </c>
      <c r="B700" t="s">
        <v>564</v>
      </c>
      <c r="D700" t="s">
        <v>589</v>
      </c>
      <c r="E700" t="s">
        <v>591</v>
      </c>
      <c r="F700">
        <v>4996</v>
      </c>
      <c r="G700" t="s">
        <v>594</v>
      </c>
      <c r="J700" t="s">
        <v>609</v>
      </c>
      <c r="K700">
        <f t="shared" si="10"/>
        <v>-4996</v>
      </c>
    </row>
    <row r="701" spans="1:11" x14ac:dyDescent="0.45">
      <c r="A701" t="s">
        <v>417</v>
      </c>
      <c r="B701" t="s">
        <v>564</v>
      </c>
      <c r="D701" t="s">
        <v>586</v>
      </c>
      <c r="E701" t="s">
        <v>591</v>
      </c>
      <c r="F701">
        <v>24598</v>
      </c>
      <c r="G701" t="s">
        <v>593</v>
      </c>
      <c r="J701" t="s">
        <v>609</v>
      </c>
      <c r="K701">
        <f t="shared" si="10"/>
        <v>-24598</v>
      </c>
    </row>
    <row r="702" spans="1:11" x14ac:dyDescent="0.45">
      <c r="A702" t="s">
        <v>417</v>
      </c>
      <c r="B702" t="s">
        <v>564</v>
      </c>
      <c r="D702" t="s">
        <v>583</v>
      </c>
      <c r="E702" t="s">
        <v>591</v>
      </c>
      <c r="F702">
        <v>12499</v>
      </c>
      <c r="G702" t="s">
        <v>596</v>
      </c>
      <c r="J702" t="s">
        <v>614</v>
      </c>
      <c r="K702">
        <f t="shared" si="10"/>
        <v>-12499</v>
      </c>
    </row>
    <row r="703" spans="1:11" x14ac:dyDescent="0.45">
      <c r="A703" t="s">
        <v>344</v>
      </c>
      <c r="B703" t="s">
        <v>564</v>
      </c>
      <c r="D703" t="s">
        <v>588</v>
      </c>
      <c r="E703" t="s">
        <v>591</v>
      </c>
      <c r="F703">
        <v>1379</v>
      </c>
      <c r="G703" t="s">
        <v>594</v>
      </c>
      <c r="J703" t="s">
        <v>614</v>
      </c>
      <c r="K703">
        <f t="shared" si="10"/>
        <v>-1379</v>
      </c>
    </row>
    <row r="704" spans="1:11" x14ac:dyDescent="0.45">
      <c r="A704" t="s">
        <v>177</v>
      </c>
      <c r="B704" t="s">
        <v>564</v>
      </c>
      <c r="E704" t="s">
        <v>592</v>
      </c>
      <c r="F704">
        <v>70363</v>
      </c>
      <c r="G704" t="s">
        <v>595</v>
      </c>
      <c r="H704" t="s">
        <v>604</v>
      </c>
      <c r="I704">
        <v>24.3</v>
      </c>
      <c r="J704" t="s">
        <v>609</v>
      </c>
      <c r="K704">
        <f t="shared" si="10"/>
        <v>-70363</v>
      </c>
    </row>
    <row r="705" spans="1:11" x14ac:dyDescent="0.45">
      <c r="A705" t="s">
        <v>177</v>
      </c>
      <c r="B705" t="s">
        <v>564</v>
      </c>
      <c r="C705" t="s">
        <v>581</v>
      </c>
      <c r="E705" t="s">
        <v>590</v>
      </c>
      <c r="F705">
        <v>133101</v>
      </c>
      <c r="G705" t="s">
        <v>594</v>
      </c>
      <c r="J705" t="s">
        <v>611</v>
      </c>
      <c r="K705">
        <f t="shared" si="10"/>
        <v>133101</v>
      </c>
    </row>
    <row r="706" spans="1:11" x14ac:dyDescent="0.45">
      <c r="A706" t="s">
        <v>369</v>
      </c>
      <c r="B706" t="s">
        <v>567</v>
      </c>
      <c r="D706" t="s">
        <v>583</v>
      </c>
      <c r="E706" t="s">
        <v>591</v>
      </c>
      <c r="F706">
        <v>16412</v>
      </c>
      <c r="G706" t="s">
        <v>595</v>
      </c>
      <c r="J706" t="s">
        <v>613</v>
      </c>
      <c r="K706">
        <f t="shared" ref="K706:K769" si="11">IF(E706= "Income", F706, -F706)</f>
        <v>-16412</v>
      </c>
    </row>
    <row r="707" spans="1:11" x14ac:dyDescent="0.45">
      <c r="A707" t="s">
        <v>81</v>
      </c>
      <c r="B707" t="s">
        <v>567</v>
      </c>
      <c r="D707" t="s">
        <v>583</v>
      </c>
      <c r="E707" t="s">
        <v>591</v>
      </c>
      <c r="F707">
        <v>10988</v>
      </c>
      <c r="G707" t="s">
        <v>595</v>
      </c>
      <c r="J707" t="s">
        <v>609</v>
      </c>
      <c r="K707">
        <f t="shared" si="11"/>
        <v>-10988</v>
      </c>
    </row>
    <row r="708" spans="1:11" x14ac:dyDescent="0.45">
      <c r="A708" t="s">
        <v>81</v>
      </c>
      <c r="B708" t="s">
        <v>567</v>
      </c>
      <c r="C708" t="s">
        <v>579</v>
      </c>
      <c r="E708" t="s">
        <v>590</v>
      </c>
      <c r="F708">
        <v>133466</v>
      </c>
      <c r="G708" t="s">
        <v>594</v>
      </c>
      <c r="J708" t="s">
        <v>606</v>
      </c>
      <c r="K708">
        <f t="shared" si="11"/>
        <v>133466</v>
      </c>
    </row>
    <row r="709" spans="1:11" x14ac:dyDescent="0.45">
      <c r="A709" t="s">
        <v>81</v>
      </c>
      <c r="B709" t="s">
        <v>567</v>
      </c>
      <c r="E709" t="s">
        <v>592</v>
      </c>
      <c r="F709">
        <v>138410</v>
      </c>
      <c r="G709" t="s">
        <v>596</v>
      </c>
      <c r="H709" t="s">
        <v>600</v>
      </c>
      <c r="I709">
        <v>15.48</v>
      </c>
      <c r="J709" t="s">
        <v>613</v>
      </c>
      <c r="K709">
        <f t="shared" si="11"/>
        <v>-138410</v>
      </c>
    </row>
    <row r="710" spans="1:11" x14ac:dyDescent="0.45">
      <c r="A710" t="s">
        <v>27</v>
      </c>
      <c r="B710" t="s">
        <v>567</v>
      </c>
      <c r="D710" t="s">
        <v>587</v>
      </c>
      <c r="E710" t="s">
        <v>591</v>
      </c>
      <c r="F710">
        <v>599</v>
      </c>
      <c r="G710" t="s">
        <v>593</v>
      </c>
      <c r="J710" t="s">
        <v>612</v>
      </c>
      <c r="K710">
        <f t="shared" si="11"/>
        <v>-599</v>
      </c>
    </row>
    <row r="711" spans="1:11" x14ac:dyDescent="0.45">
      <c r="A711" t="s">
        <v>27</v>
      </c>
      <c r="B711" t="s">
        <v>567</v>
      </c>
      <c r="D711" t="s">
        <v>583</v>
      </c>
      <c r="E711" t="s">
        <v>591</v>
      </c>
      <c r="F711">
        <v>16110</v>
      </c>
      <c r="G711" t="s">
        <v>595</v>
      </c>
      <c r="J711" t="s">
        <v>605</v>
      </c>
      <c r="K711">
        <f t="shared" si="11"/>
        <v>-16110</v>
      </c>
    </row>
    <row r="712" spans="1:11" x14ac:dyDescent="0.45">
      <c r="A712" t="s">
        <v>219</v>
      </c>
      <c r="B712" t="s">
        <v>567</v>
      </c>
      <c r="D712" t="s">
        <v>586</v>
      </c>
      <c r="E712" t="s">
        <v>591</v>
      </c>
      <c r="F712">
        <v>11948</v>
      </c>
      <c r="G712" t="s">
        <v>596</v>
      </c>
      <c r="J712" t="s">
        <v>612</v>
      </c>
      <c r="K712">
        <f t="shared" si="11"/>
        <v>-11948</v>
      </c>
    </row>
    <row r="713" spans="1:11" x14ac:dyDescent="0.45">
      <c r="A713" t="s">
        <v>219</v>
      </c>
      <c r="B713" t="s">
        <v>567</v>
      </c>
      <c r="C713" t="s">
        <v>578</v>
      </c>
      <c r="E713" t="s">
        <v>590</v>
      </c>
      <c r="F713">
        <v>146640</v>
      </c>
      <c r="G713" t="s">
        <v>594</v>
      </c>
      <c r="J713" t="s">
        <v>605</v>
      </c>
      <c r="K713">
        <f t="shared" si="11"/>
        <v>146640</v>
      </c>
    </row>
    <row r="714" spans="1:11" x14ac:dyDescent="0.45">
      <c r="A714" t="s">
        <v>78</v>
      </c>
      <c r="B714" t="s">
        <v>567</v>
      </c>
      <c r="C714" t="s">
        <v>576</v>
      </c>
      <c r="E714" t="s">
        <v>590</v>
      </c>
      <c r="F714">
        <v>64828</v>
      </c>
      <c r="G714" t="s">
        <v>596</v>
      </c>
      <c r="J714" t="s">
        <v>606</v>
      </c>
      <c r="K714">
        <f t="shared" si="11"/>
        <v>64828</v>
      </c>
    </row>
    <row r="715" spans="1:11" x14ac:dyDescent="0.45">
      <c r="A715" t="s">
        <v>78</v>
      </c>
      <c r="B715" t="s">
        <v>567</v>
      </c>
      <c r="E715" t="s">
        <v>592</v>
      </c>
      <c r="F715">
        <v>19397</v>
      </c>
      <c r="G715" t="s">
        <v>597</v>
      </c>
      <c r="H715" t="s">
        <v>601</v>
      </c>
      <c r="I715">
        <v>12.84</v>
      </c>
      <c r="J715" t="s">
        <v>609</v>
      </c>
      <c r="K715">
        <f t="shared" si="11"/>
        <v>-19397</v>
      </c>
    </row>
    <row r="716" spans="1:11" x14ac:dyDescent="0.45">
      <c r="A716" t="s">
        <v>78</v>
      </c>
      <c r="B716" t="s">
        <v>567</v>
      </c>
      <c r="C716" t="s">
        <v>575</v>
      </c>
      <c r="E716" t="s">
        <v>590</v>
      </c>
      <c r="F716">
        <v>41552</v>
      </c>
      <c r="G716" t="s">
        <v>596</v>
      </c>
      <c r="J716" t="s">
        <v>605</v>
      </c>
      <c r="K716">
        <f t="shared" si="11"/>
        <v>41552</v>
      </c>
    </row>
    <row r="717" spans="1:11" x14ac:dyDescent="0.45">
      <c r="A717" t="s">
        <v>78</v>
      </c>
      <c r="B717" t="s">
        <v>567</v>
      </c>
      <c r="D717" t="s">
        <v>585</v>
      </c>
      <c r="E717" t="s">
        <v>591</v>
      </c>
      <c r="F717">
        <v>6504</v>
      </c>
      <c r="G717" t="s">
        <v>597</v>
      </c>
      <c r="J717" t="s">
        <v>614</v>
      </c>
      <c r="K717">
        <f t="shared" si="11"/>
        <v>-6504</v>
      </c>
    </row>
    <row r="718" spans="1:11" x14ac:dyDescent="0.45">
      <c r="A718" t="s">
        <v>450</v>
      </c>
      <c r="B718" t="s">
        <v>567</v>
      </c>
      <c r="C718" t="s">
        <v>577</v>
      </c>
      <c r="E718" t="s">
        <v>590</v>
      </c>
      <c r="F718">
        <v>17332</v>
      </c>
      <c r="G718" t="s">
        <v>595</v>
      </c>
      <c r="J718" t="s">
        <v>612</v>
      </c>
      <c r="K718">
        <f t="shared" si="11"/>
        <v>17332</v>
      </c>
    </row>
    <row r="719" spans="1:11" x14ac:dyDescent="0.45">
      <c r="A719" t="s">
        <v>483</v>
      </c>
      <c r="B719" t="s">
        <v>567</v>
      </c>
      <c r="C719" t="s">
        <v>581</v>
      </c>
      <c r="E719" t="s">
        <v>590</v>
      </c>
      <c r="F719">
        <v>127330</v>
      </c>
      <c r="G719" t="s">
        <v>596</v>
      </c>
      <c r="J719" t="s">
        <v>607</v>
      </c>
      <c r="K719">
        <f t="shared" si="11"/>
        <v>127330</v>
      </c>
    </row>
    <row r="720" spans="1:11" x14ac:dyDescent="0.45">
      <c r="A720" t="s">
        <v>483</v>
      </c>
      <c r="B720" t="s">
        <v>567</v>
      </c>
      <c r="E720" t="s">
        <v>592</v>
      </c>
      <c r="F720">
        <v>68806</v>
      </c>
      <c r="G720" t="s">
        <v>598</v>
      </c>
      <c r="H720" t="s">
        <v>602</v>
      </c>
      <c r="I720">
        <v>-13.11</v>
      </c>
      <c r="J720" t="s">
        <v>605</v>
      </c>
      <c r="K720">
        <f t="shared" si="11"/>
        <v>-68806</v>
      </c>
    </row>
    <row r="721" spans="1:11" x14ac:dyDescent="0.45">
      <c r="A721" t="s">
        <v>278</v>
      </c>
      <c r="B721" t="s">
        <v>567</v>
      </c>
      <c r="D721" t="s">
        <v>588</v>
      </c>
      <c r="E721" t="s">
        <v>591</v>
      </c>
      <c r="F721">
        <v>4460</v>
      </c>
      <c r="G721" t="s">
        <v>595</v>
      </c>
      <c r="J721" t="s">
        <v>610</v>
      </c>
      <c r="K721">
        <f t="shared" si="11"/>
        <v>-4460</v>
      </c>
    </row>
    <row r="722" spans="1:11" x14ac:dyDescent="0.45">
      <c r="A722" t="s">
        <v>364</v>
      </c>
      <c r="B722" t="s">
        <v>567</v>
      </c>
      <c r="C722" t="s">
        <v>580</v>
      </c>
      <c r="E722" t="s">
        <v>590</v>
      </c>
      <c r="F722">
        <v>101766</v>
      </c>
      <c r="G722" t="s">
        <v>597</v>
      </c>
      <c r="J722" t="s">
        <v>614</v>
      </c>
      <c r="K722">
        <f t="shared" si="11"/>
        <v>101766</v>
      </c>
    </row>
    <row r="723" spans="1:11" x14ac:dyDescent="0.45">
      <c r="A723" t="s">
        <v>439</v>
      </c>
      <c r="B723" t="s">
        <v>567</v>
      </c>
      <c r="E723" t="s">
        <v>592</v>
      </c>
      <c r="F723">
        <v>82300</v>
      </c>
      <c r="G723" t="s">
        <v>595</v>
      </c>
      <c r="H723" t="s">
        <v>603</v>
      </c>
      <c r="I723">
        <v>-8.66</v>
      </c>
      <c r="J723" t="s">
        <v>612</v>
      </c>
      <c r="K723">
        <f t="shared" si="11"/>
        <v>-82300</v>
      </c>
    </row>
    <row r="724" spans="1:11" x14ac:dyDescent="0.45">
      <c r="A724" t="s">
        <v>148</v>
      </c>
      <c r="B724" t="s">
        <v>567</v>
      </c>
      <c r="D724" t="s">
        <v>589</v>
      </c>
      <c r="E724" t="s">
        <v>591</v>
      </c>
      <c r="F724">
        <v>41986</v>
      </c>
      <c r="G724" t="s">
        <v>595</v>
      </c>
      <c r="J724" t="s">
        <v>606</v>
      </c>
      <c r="K724">
        <f t="shared" si="11"/>
        <v>-41986</v>
      </c>
    </row>
    <row r="725" spans="1:11" x14ac:dyDescent="0.45">
      <c r="A725" t="s">
        <v>148</v>
      </c>
      <c r="B725" t="s">
        <v>567</v>
      </c>
      <c r="C725" t="s">
        <v>575</v>
      </c>
      <c r="E725" t="s">
        <v>590</v>
      </c>
      <c r="F725">
        <v>32987</v>
      </c>
      <c r="G725" t="s">
        <v>594</v>
      </c>
      <c r="J725" t="s">
        <v>607</v>
      </c>
      <c r="K725">
        <f t="shared" si="11"/>
        <v>32987</v>
      </c>
    </row>
    <row r="726" spans="1:11" x14ac:dyDescent="0.45">
      <c r="A726" t="s">
        <v>511</v>
      </c>
      <c r="B726" t="s">
        <v>567</v>
      </c>
      <c r="C726" t="s">
        <v>575</v>
      </c>
      <c r="E726" t="s">
        <v>590</v>
      </c>
      <c r="F726">
        <v>68849</v>
      </c>
      <c r="G726" t="s">
        <v>598</v>
      </c>
      <c r="J726" t="s">
        <v>611</v>
      </c>
      <c r="K726">
        <f t="shared" si="11"/>
        <v>68849</v>
      </c>
    </row>
    <row r="727" spans="1:11" x14ac:dyDescent="0.45">
      <c r="A727" t="s">
        <v>350</v>
      </c>
      <c r="B727" t="s">
        <v>567</v>
      </c>
      <c r="C727" t="s">
        <v>579</v>
      </c>
      <c r="E727" t="s">
        <v>590</v>
      </c>
      <c r="F727">
        <v>59433</v>
      </c>
      <c r="G727" t="s">
        <v>593</v>
      </c>
      <c r="J727" t="s">
        <v>609</v>
      </c>
      <c r="K727">
        <f t="shared" si="11"/>
        <v>59433</v>
      </c>
    </row>
    <row r="728" spans="1:11" x14ac:dyDescent="0.45">
      <c r="A728" t="s">
        <v>350</v>
      </c>
      <c r="B728" t="s">
        <v>567</v>
      </c>
      <c r="E728" t="s">
        <v>592</v>
      </c>
      <c r="F728">
        <v>173977</v>
      </c>
      <c r="G728" t="s">
        <v>595</v>
      </c>
      <c r="H728" t="s">
        <v>600</v>
      </c>
      <c r="I728">
        <v>14.52</v>
      </c>
      <c r="J728" t="s">
        <v>605</v>
      </c>
      <c r="K728">
        <f t="shared" si="11"/>
        <v>-173977</v>
      </c>
    </row>
    <row r="729" spans="1:11" x14ac:dyDescent="0.45">
      <c r="A729" t="s">
        <v>508</v>
      </c>
      <c r="B729" t="s">
        <v>567</v>
      </c>
      <c r="D729" t="s">
        <v>587</v>
      </c>
      <c r="E729" t="s">
        <v>591</v>
      </c>
      <c r="F729">
        <v>3007</v>
      </c>
      <c r="G729" t="s">
        <v>597</v>
      </c>
      <c r="J729" t="s">
        <v>614</v>
      </c>
      <c r="K729">
        <f t="shared" si="11"/>
        <v>-3007</v>
      </c>
    </row>
    <row r="730" spans="1:11" x14ac:dyDescent="0.45">
      <c r="A730" t="s">
        <v>473</v>
      </c>
      <c r="B730" t="s">
        <v>567</v>
      </c>
      <c r="D730" t="s">
        <v>582</v>
      </c>
      <c r="E730" t="s">
        <v>591</v>
      </c>
      <c r="F730">
        <v>36367</v>
      </c>
      <c r="G730" t="s">
        <v>598</v>
      </c>
      <c r="J730" t="s">
        <v>605</v>
      </c>
      <c r="K730">
        <f t="shared" si="11"/>
        <v>-36367</v>
      </c>
    </row>
    <row r="731" spans="1:11" x14ac:dyDescent="0.45">
      <c r="A731" t="s">
        <v>289</v>
      </c>
      <c r="B731" t="s">
        <v>567</v>
      </c>
      <c r="D731" t="s">
        <v>583</v>
      </c>
      <c r="E731" t="s">
        <v>591</v>
      </c>
      <c r="F731">
        <v>5142</v>
      </c>
      <c r="G731" t="s">
        <v>598</v>
      </c>
      <c r="J731" t="s">
        <v>605</v>
      </c>
      <c r="K731">
        <f t="shared" si="11"/>
        <v>-5142</v>
      </c>
    </row>
    <row r="732" spans="1:11" x14ac:dyDescent="0.45">
      <c r="A732" t="s">
        <v>289</v>
      </c>
      <c r="B732" t="s">
        <v>567</v>
      </c>
      <c r="D732" t="s">
        <v>585</v>
      </c>
      <c r="E732" t="s">
        <v>591</v>
      </c>
      <c r="F732">
        <v>8561</v>
      </c>
      <c r="G732" t="s">
        <v>595</v>
      </c>
      <c r="J732" t="s">
        <v>609</v>
      </c>
      <c r="K732">
        <f t="shared" si="11"/>
        <v>-8561</v>
      </c>
    </row>
    <row r="733" spans="1:11" x14ac:dyDescent="0.45">
      <c r="A733" t="s">
        <v>126</v>
      </c>
      <c r="B733" t="s">
        <v>567</v>
      </c>
      <c r="D733" t="s">
        <v>582</v>
      </c>
      <c r="E733" t="s">
        <v>591</v>
      </c>
      <c r="F733">
        <v>20721</v>
      </c>
      <c r="G733" t="s">
        <v>596</v>
      </c>
      <c r="J733" t="s">
        <v>605</v>
      </c>
      <c r="K733">
        <f t="shared" si="11"/>
        <v>-20721</v>
      </c>
    </row>
    <row r="734" spans="1:11" x14ac:dyDescent="0.45">
      <c r="A734" t="s">
        <v>245</v>
      </c>
      <c r="B734" t="s">
        <v>567</v>
      </c>
      <c r="D734" t="s">
        <v>587</v>
      </c>
      <c r="E734" t="s">
        <v>591</v>
      </c>
      <c r="F734">
        <v>1749</v>
      </c>
      <c r="G734" t="s">
        <v>595</v>
      </c>
      <c r="J734" t="s">
        <v>606</v>
      </c>
      <c r="K734">
        <f t="shared" si="11"/>
        <v>-1749</v>
      </c>
    </row>
    <row r="735" spans="1:11" x14ac:dyDescent="0.45">
      <c r="A735" t="s">
        <v>245</v>
      </c>
      <c r="B735" t="s">
        <v>567</v>
      </c>
      <c r="C735" t="s">
        <v>580</v>
      </c>
      <c r="E735" t="s">
        <v>590</v>
      </c>
      <c r="F735">
        <v>151473</v>
      </c>
      <c r="G735" t="s">
        <v>594</v>
      </c>
      <c r="J735" t="s">
        <v>607</v>
      </c>
      <c r="K735">
        <f t="shared" si="11"/>
        <v>151473</v>
      </c>
    </row>
    <row r="736" spans="1:11" x14ac:dyDescent="0.45">
      <c r="A736" t="s">
        <v>37</v>
      </c>
      <c r="B736" t="s">
        <v>567</v>
      </c>
      <c r="E736" t="s">
        <v>592</v>
      </c>
      <c r="F736">
        <v>32760</v>
      </c>
      <c r="G736" t="s">
        <v>598</v>
      </c>
      <c r="H736" t="s">
        <v>602</v>
      </c>
      <c r="I736">
        <v>24.94</v>
      </c>
      <c r="J736" t="s">
        <v>605</v>
      </c>
      <c r="K736">
        <f t="shared" si="11"/>
        <v>-32760</v>
      </c>
    </row>
    <row r="737" spans="1:11" x14ac:dyDescent="0.45">
      <c r="A737" t="s">
        <v>37</v>
      </c>
      <c r="B737" t="s">
        <v>567</v>
      </c>
      <c r="E737" t="s">
        <v>592</v>
      </c>
      <c r="F737">
        <v>20561</v>
      </c>
      <c r="G737" t="s">
        <v>595</v>
      </c>
      <c r="H737" t="s">
        <v>601</v>
      </c>
      <c r="I737">
        <v>1.71</v>
      </c>
      <c r="J737" t="s">
        <v>608</v>
      </c>
      <c r="K737">
        <f t="shared" si="11"/>
        <v>-20561</v>
      </c>
    </row>
    <row r="738" spans="1:11" x14ac:dyDescent="0.45">
      <c r="A738" t="s">
        <v>336</v>
      </c>
      <c r="B738" t="s">
        <v>567</v>
      </c>
      <c r="D738" t="s">
        <v>584</v>
      </c>
      <c r="E738" t="s">
        <v>591</v>
      </c>
      <c r="F738">
        <v>340</v>
      </c>
      <c r="G738" t="s">
        <v>597</v>
      </c>
      <c r="J738" t="s">
        <v>614</v>
      </c>
      <c r="K738">
        <f t="shared" si="11"/>
        <v>-340</v>
      </c>
    </row>
    <row r="739" spans="1:11" x14ac:dyDescent="0.45">
      <c r="A739" t="s">
        <v>167</v>
      </c>
      <c r="B739" t="s">
        <v>567</v>
      </c>
      <c r="D739" t="s">
        <v>585</v>
      </c>
      <c r="E739" t="s">
        <v>591</v>
      </c>
      <c r="F739">
        <v>3085</v>
      </c>
      <c r="G739" t="s">
        <v>593</v>
      </c>
      <c r="J739" t="s">
        <v>610</v>
      </c>
      <c r="K739">
        <f t="shared" si="11"/>
        <v>-3085</v>
      </c>
    </row>
    <row r="740" spans="1:11" x14ac:dyDescent="0.45">
      <c r="A740" t="s">
        <v>21</v>
      </c>
      <c r="B740" t="s">
        <v>567</v>
      </c>
      <c r="D740" t="s">
        <v>585</v>
      </c>
      <c r="E740" t="s">
        <v>591</v>
      </c>
      <c r="F740">
        <v>7873</v>
      </c>
      <c r="G740" t="s">
        <v>595</v>
      </c>
      <c r="J740" t="s">
        <v>609</v>
      </c>
      <c r="K740">
        <f t="shared" si="11"/>
        <v>-7873</v>
      </c>
    </row>
    <row r="741" spans="1:11" x14ac:dyDescent="0.45">
      <c r="A741" t="s">
        <v>437</v>
      </c>
      <c r="B741" t="s">
        <v>566</v>
      </c>
      <c r="D741" t="s">
        <v>589</v>
      </c>
      <c r="E741" t="s">
        <v>591</v>
      </c>
      <c r="F741">
        <v>38533</v>
      </c>
      <c r="G741" t="s">
        <v>593</v>
      </c>
      <c r="J741" t="s">
        <v>613</v>
      </c>
      <c r="K741">
        <f t="shared" si="11"/>
        <v>-38533</v>
      </c>
    </row>
    <row r="742" spans="1:11" x14ac:dyDescent="0.45">
      <c r="A742" t="s">
        <v>58</v>
      </c>
      <c r="B742" t="s">
        <v>566</v>
      </c>
      <c r="C742" t="s">
        <v>578</v>
      </c>
      <c r="E742" t="s">
        <v>590</v>
      </c>
      <c r="F742">
        <v>49722</v>
      </c>
      <c r="G742" t="s">
        <v>596</v>
      </c>
      <c r="J742" t="s">
        <v>610</v>
      </c>
      <c r="K742">
        <f t="shared" si="11"/>
        <v>49722</v>
      </c>
    </row>
    <row r="743" spans="1:11" x14ac:dyDescent="0.45">
      <c r="A743" t="s">
        <v>58</v>
      </c>
      <c r="B743" t="s">
        <v>566</v>
      </c>
      <c r="D743" t="s">
        <v>586</v>
      </c>
      <c r="E743" t="s">
        <v>591</v>
      </c>
      <c r="F743">
        <v>10354</v>
      </c>
      <c r="G743" t="s">
        <v>598</v>
      </c>
      <c r="J743" t="s">
        <v>612</v>
      </c>
      <c r="K743">
        <f t="shared" si="11"/>
        <v>-10354</v>
      </c>
    </row>
    <row r="744" spans="1:11" x14ac:dyDescent="0.45">
      <c r="A744" t="s">
        <v>58</v>
      </c>
      <c r="B744" t="s">
        <v>566</v>
      </c>
      <c r="D744" t="s">
        <v>582</v>
      </c>
      <c r="E744" t="s">
        <v>591</v>
      </c>
      <c r="F744">
        <v>27968</v>
      </c>
      <c r="G744" t="s">
        <v>593</v>
      </c>
      <c r="J744" t="s">
        <v>611</v>
      </c>
      <c r="K744">
        <f t="shared" si="11"/>
        <v>-27968</v>
      </c>
    </row>
    <row r="745" spans="1:11" x14ac:dyDescent="0.45">
      <c r="A745" t="s">
        <v>234</v>
      </c>
      <c r="B745" t="s">
        <v>566</v>
      </c>
      <c r="E745" t="s">
        <v>592</v>
      </c>
      <c r="F745">
        <v>19895</v>
      </c>
      <c r="G745" t="s">
        <v>597</v>
      </c>
      <c r="H745" t="s">
        <v>600</v>
      </c>
      <c r="I745">
        <v>13.46</v>
      </c>
      <c r="J745" t="s">
        <v>612</v>
      </c>
      <c r="K745">
        <f t="shared" si="11"/>
        <v>-19895</v>
      </c>
    </row>
    <row r="746" spans="1:11" x14ac:dyDescent="0.45">
      <c r="A746" t="s">
        <v>234</v>
      </c>
      <c r="B746" t="s">
        <v>566</v>
      </c>
      <c r="D746" t="s">
        <v>585</v>
      </c>
      <c r="E746" t="s">
        <v>591</v>
      </c>
      <c r="F746">
        <v>6293</v>
      </c>
      <c r="G746" t="s">
        <v>595</v>
      </c>
      <c r="J746" t="s">
        <v>605</v>
      </c>
      <c r="K746">
        <f t="shared" si="11"/>
        <v>-6293</v>
      </c>
    </row>
    <row r="747" spans="1:11" x14ac:dyDescent="0.45">
      <c r="A747" t="s">
        <v>533</v>
      </c>
      <c r="B747" t="s">
        <v>566</v>
      </c>
      <c r="E747" t="s">
        <v>592</v>
      </c>
      <c r="F747">
        <v>126613</v>
      </c>
      <c r="G747" t="s">
        <v>598</v>
      </c>
      <c r="H747" t="s">
        <v>600</v>
      </c>
      <c r="I747">
        <v>-9.19</v>
      </c>
      <c r="J747" t="s">
        <v>607</v>
      </c>
      <c r="K747">
        <f t="shared" si="11"/>
        <v>-126613</v>
      </c>
    </row>
    <row r="748" spans="1:11" x14ac:dyDescent="0.45">
      <c r="A748" t="s">
        <v>556</v>
      </c>
      <c r="B748" t="s">
        <v>566</v>
      </c>
      <c r="C748" t="s">
        <v>575</v>
      </c>
      <c r="E748" t="s">
        <v>590</v>
      </c>
      <c r="F748">
        <v>51327</v>
      </c>
      <c r="G748" t="s">
        <v>597</v>
      </c>
      <c r="J748" t="s">
        <v>607</v>
      </c>
      <c r="K748">
        <f t="shared" si="11"/>
        <v>51327</v>
      </c>
    </row>
    <row r="749" spans="1:11" x14ac:dyDescent="0.45">
      <c r="A749" t="s">
        <v>156</v>
      </c>
      <c r="B749" t="s">
        <v>566</v>
      </c>
      <c r="D749" t="s">
        <v>588</v>
      </c>
      <c r="E749" t="s">
        <v>591</v>
      </c>
      <c r="F749">
        <v>3590</v>
      </c>
      <c r="G749" t="s">
        <v>598</v>
      </c>
      <c r="J749" t="s">
        <v>605</v>
      </c>
      <c r="K749">
        <f t="shared" si="11"/>
        <v>-3590</v>
      </c>
    </row>
    <row r="750" spans="1:11" x14ac:dyDescent="0.45">
      <c r="A750" t="s">
        <v>501</v>
      </c>
      <c r="B750" t="s">
        <v>566</v>
      </c>
      <c r="D750" t="s">
        <v>583</v>
      </c>
      <c r="E750" t="s">
        <v>591</v>
      </c>
      <c r="F750">
        <v>12703</v>
      </c>
      <c r="G750" t="s">
        <v>596</v>
      </c>
      <c r="J750" t="s">
        <v>608</v>
      </c>
      <c r="K750">
        <f t="shared" si="11"/>
        <v>-12703</v>
      </c>
    </row>
    <row r="751" spans="1:11" x14ac:dyDescent="0.45">
      <c r="A751" t="s">
        <v>67</v>
      </c>
      <c r="B751" t="s">
        <v>566</v>
      </c>
      <c r="C751" t="s">
        <v>578</v>
      </c>
      <c r="E751" t="s">
        <v>590</v>
      </c>
      <c r="F751">
        <v>167701</v>
      </c>
      <c r="G751" t="s">
        <v>597</v>
      </c>
      <c r="J751" t="s">
        <v>612</v>
      </c>
      <c r="K751">
        <f t="shared" si="11"/>
        <v>167701</v>
      </c>
    </row>
    <row r="752" spans="1:11" x14ac:dyDescent="0.45">
      <c r="A752" t="s">
        <v>248</v>
      </c>
      <c r="B752" t="s">
        <v>566</v>
      </c>
      <c r="D752" t="s">
        <v>585</v>
      </c>
      <c r="E752" t="s">
        <v>591</v>
      </c>
      <c r="F752">
        <v>11517</v>
      </c>
      <c r="G752" t="s">
        <v>595</v>
      </c>
      <c r="J752" t="s">
        <v>613</v>
      </c>
      <c r="K752">
        <f t="shared" si="11"/>
        <v>-11517</v>
      </c>
    </row>
    <row r="753" spans="1:11" x14ac:dyDescent="0.45">
      <c r="A753" t="s">
        <v>248</v>
      </c>
      <c r="B753" t="s">
        <v>566</v>
      </c>
      <c r="D753" t="s">
        <v>587</v>
      </c>
      <c r="E753" t="s">
        <v>591</v>
      </c>
      <c r="F753">
        <v>2296</v>
      </c>
      <c r="G753" t="s">
        <v>594</v>
      </c>
      <c r="J753" t="s">
        <v>610</v>
      </c>
      <c r="K753">
        <f t="shared" si="11"/>
        <v>-2296</v>
      </c>
    </row>
    <row r="754" spans="1:11" x14ac:dyDescent="0.45">
      <c r="A754" t="s">
        <v>248</v>
      </c>
      <c r="B754" t="s">
        <v>566</v>
      </c>
      <c r="D754" t="s">
        <v>589</v>
      </c>
      <c r="E754" t="s">
        <v>591</v>
      </c>
      <c r="F754">
        <v>51486</v>
      </c>
      <c r="G754" t="s">
        <v>594</v>
      </c>
      <c r="J754" t="s">
        <v>606</v>
      </c>
      <c r="K754">
        <f t="shared" si="11"/>
        <v>-51486</v>
      </c>
    </row>
    <row r="755" spans="1:11" x14ac:dyDescent="0.45">
      <c r="A755" t="s">
        <v>248</v>
      </c>
      <c r="B755" t="s">
        <v>566</v>
      </c>
      <c r="D755" t="s">
        <v>586</v>
      </c>
      <c r="E755" t="s">
        <v>591</v>
      </c>
      <c r="F755">
        <v>24253</v>
      </c>
      <c r="G755" t="s">
        <v>593</v>
      </c>
      <c r="J755" t="s">
        <v>609</v>
      </c>
      <c r="K755">
        <f t="shared" si="11"/>
        <v>-24253</v>
      </c>
    </row>
    <row r="756" spans="1:11" x14ac:dyDescent="0.45">
      <c r="A756" t="s">
        <v>431</v>
      </c>
      <c r="B756" t="s">
        <v>566</v>
      </c>
      <c r="E756" t="s">
        <v>592</v>
      </c>
      <c r="F756">
        <v>24147</v>
      </c>
      <c r="G756" t="s">
        <v>597</v>
      </c>
      <c r="H756" t="s">
        <v>599</v>
      </c>
      <c r="I756">
        <v>10.54</v>
      </c>
      <c r="J756" t="s">
        <v>613</v>
      </c>
      <c r="K756">
        <f t="shared" si="11"/>
        <v>-24147</v>
      </c>
    </row>
    <row r="757" spans="1:11" x14ac:dyDescent="0.45">
      <c r="A757" t="s">
        <v>536</v>
      </c>
      <c r="B757" t="s">
        <v>566</v>
      </c>
      <c r="D757" t="s">
        <v>583</v>
      </c>
      <c r="E757" t="s">
        <v>591</v>
      </c>
      <c r="F757">
        <v>18668</v>
      </c>
      <c r="G757" t="s">
        <v>595</v>
      </c>
      <c r="J757" t="s">
        <v>614</v>
      </c>
      <c r="K757">
        <f t="shared" si="11"/>
        <v>-18668</v>
      </c>
    </row>
    <row r="758" spans="1:11" x14ac:dyDescent="0.45">
      <c r="A758" t="s">
        <v>497</v>
      </c>
      <c r="B758" t="s">
        <v>566</v>
      </c>
      <c r="D758" t="s">
        <v>582</v>
      </c>
      <c r="E758" t="s">
        <v>591</v>
      </c>
      <c r="F758">
        <v>27048</v>
      </c>
      <c r="G758" t="s">
        <v>598</v>
      </c>
      <c r="J758" t="s">
        <v>610</v>
      </c>
      <c r="K758">
        <f t="shared" si="11"/>
        <v>-27048</v>
      </c>
    </row>
    <row r="759" spans="1:11" x14ac:dyDescent="0.45">
      <c r="A759" t="s">
        <v>497</v>
      </c>
      <c r="B759" t="s">
        <v>566</v>
      </c>
      <c r="D759" t="s">
        <v>584</v>
      </c>
      <c r="E759" t="s">
        <v>591</v>
      </c>
      <c r="F759">
        <v>4142</v>
      </c>
      <c r="G759" t="s">
        <v>598</v>
      </c>
      <c r="J759" t="s">
        <v>609</v>
      </c>
      <c r="K759">
        <f t="shared" si="11"/>
        <v>-4142</v>
      </c>
    </row>
    <row r="760" spans="1:11" x14ac:dyDescent="0.45">
      <c r="A760" t="s">
        <v>543</v>
      </c>
      <c r="B760" t="s">
        <v>566</v>
      </c>
      <c r="D760" t="s">
        <v>588</v>
      </c>
      <c r="E760" t="s">
        <v>591</v>
      </c>
      <c r="F760">
        <v>11273</v>
      </c>
      <c r="G760" t="s">
        <v>593</v>
      </c>
      <c r="J760" t="s">
        <v>607</v>
      </c>
      <c r="K760">
        <f t="shared" si="11"/>
        <v>-11273</v>
      </c>
    </row>
    <row r="761" spans="1:11" x14ac:dyDescent="0.45">
      <c r="A761" t="s">
        <v>66</v>
      </c>
      <c r="B761" t="s">
        <v>566</v>
      </c>
      <c r="D761" t="s">
        <v>587</v>
      </c>
      <c r="E761" t="s">
        <v>591</v>
      </c>
      <c r="F761">
        <v>608</v>
      </c>
      <c r="G761" t="s">
        <v>594</v>
      </c>
      <c r="J761" t="s">
        <v>612</v>
      </c>
      <c r="K761">
        <f t="shared" si="11"/>
        <v>-608</v>
      </c>
    </row>
    <row r="762" spans="1:11" x14ac:dyDescent="0.45">
      <c r="A762" t="s">
        <v>66</v>
      </c>
      <c r="B762" t="s">
        <v>566</v>
      </c>
      <c r="C762" t="s">
        <v>581</v>
      </c>
      <c r="E762" t="s">
        <v>590</v>
      </c>
      <c r="F762">
        <v>32235</v>
      </c>
      <c r="G762" t="s">
        <v>596</v>
      </c>
      <c r="J762" t="s">
        <v>614</v>
      </c>
      <c r="K762">
        <f t="shared" si="11"/>
        <v>32235</v>
      </c>
    </row>
    <row r="763" spans="1:11" x14ac:dyDescent="0.45">
      <c r="A763" t="s">
        <v>481</v>
      </c>
      <c r="B763" t="s">
        <v>566</v>
      </c>
      <c r="C763" t="s">
        <v>575</v>
      </c>
      <c r="E763" t="s">
        <v>590</v>
      </c>
      <c r="F763">
        <v>80887</v>
      </c>
      <c r="G763" t="s">
        <v>593</v>
      </c>
      <c r="J763" t="s">
        <v>608</v>
      </c>
      <c r="K763">
        <f t="shared" si="11"/>
        <v>80887</v>
      </c>
    </row>
    <row r="764" spans="1:11" x14ac:dyDescent="0.45">
      <c r="A764" t="s">
        <v>481</v>
      </c>
      <c r="B764" t="s">
        <v>566</v>
      </c>
      <c r="D764" t="s">
        <v>589</v>
      </c>
      <c r="E764" t="s">
        <v>591</v>
      </c>
      <c r="F764">
        <v>12712</v>
      </c>
      <c r="G764" t="s">
        <v>596</v>
      </c>
      <c r="J764" t="s">
        <v>607</v>
      </c>
      <c r="K764">
        <f t="shared" si="11"/>
        <v>-12712</v>
      </c>
    </row>
    <row r="765" spans="1:11" x14ac:dyDescent="0.45">
      <c r="A765" t="s">
        <v>62</v>
      </c>
      <c r="B765" t="s">
        <v>566</v>
      </c>
      <c r="C765" t="s">
        <v>578</v>
      </c>
      <c r="E765" t="s">
        <v>590</v>
      </c>
      <c r="F765">
        <v>173552</v>
      </c>
      <c r="G765" t="s">
        <v>593</v>
      </c>
      <c r="J765" t="s">
        <v>611</v>
      </c>
      <c r="K765">
        <f t="shared" si="11"/>
        <v>173552</v>
      </c>
    </row>
    <row r="766" spans="1:11" x14ac:dyDescent="0.45">
      <c r="A766" t="s">
        <v>62</v>
      </c>
      <c r="B766" t="s">
        <v>566</v>
      </c>
      <c r="D766" t="s">
        <v>585</v>
      </c>
      <c r="E766" t="s">
        <v>591</v>
      </c>
      <c r="F766">
        <v>1844</v>
      </c>
      <c r="G766" t="s">
        <v>594</v>
      </c>
      <c r="J766" t="s">
        <v>613</v>
      </c>
      <c r="K766">
        <f t="shared" si="11"/>
        <v>-1844</v>
      </c>
    </row>
    <row r="767" spans="1:11" x14ac:dyDescent="0.45">
      <c r="A767" t="s">
        <v>40</v>
      </c>
      <c r="B767" t="s">
        <v>566</v>
      </c>
      <c r="C767" t="s">
        <v>580</v>
      </c>
      <c r="E767" t="s">
        <v>590</v>
      </c>
      <c r="F767">
        <v>16885</v>
      </c>
      <c r="G767" t="s">
        <v>594</v>
      </c>
      <c r="J767" t="s">
        <v>606</v>
      </c>
      <c r="K767">
        <f t="shared" si="11"/>
        <v>16885</v>
      </c>
    </row>
    <row r="768" spans="1:11" x14ac:dyDescent="0.45">
      <c r="A768" t="s">
        <v>40</v>
      </c>
      <c r="B768" t="s">
        <v>566</v>
      </c>
      <c r="C768" t="s">
        <v>579</v>
      </c>
      <c r="E768" t="s">
        <v>590</v>
      </c>
      <c r="F768">
        <v>114390</v>
      </c>
      <c r="G768" t="s">
        <v>598</v>
      </c>
      <c r="J768" t="s">
        <v>612</v>
      </c>
      <c r="K768">
        <f t="shared" si="11"/>
        <v>114390</v>
      </c>
    </row>
    <row r="769" spans="1:11" x14ac:dyDescent="0.45">
      <c r="A769" t="s">
        <v>40</v>
      </c>
      <c r="B769" t="s">
        <v>566</v>
      </c>
      <c r="C769" t="s">
        <v>580</v>
      </c>
      <c r="E769" t="s">
        <v>590</v>
      </c>
      <c r="F769">
        <v>76079</v>
      </c>
      <c r="G769" t="s">
        <v>596</v>
      </c>
      <c r="J769" t="s">
        <v>612</v>
      </c>
      <c r="K769">
        <f t="shared" si="11"/>
        <v>76079</v>
      </c>
    </row>
    <row r="770" spans="1:11" x14ac:dyDescent="0.45">
      <c r="A770" t="s">
        <v>514</v>
      </c>
      <c r="B770" t="s">
        <v>566</v>
      </c>
      <c r="D770" t="s">
        <v>584</v>
      </c>
      <c r="E770" t="s">
        <v>591</v>
      </c>
      <c r="F770">
        <v>4932</v>
      </c>
      <c r="G770" t="s">
        <v>596</v>
      </c>
      <c r="J770" t="s">
        <v>614</v>
      </c>
      <c r="K770">
        <f t="shared" ref="K770:K833" si="12">IF(E770= "Income", F770, -F770)</f>
        <v>-4932</v>
      </c>
    </row>
    <row r="771" spans="1:11" x14ac:dyDescent="0.45">
      <c r="A771" t="s">
        <v>200</v>
      </c>
      <c r="B771" t="s">
        <v>566</v>
      </c>
      <c r="D771" t="s">
        <v>584</v>
      </c>
      <c r="E771" t="s">
        <v>591</v>
      </c>
      <c r="F771">
        <v>4903</v>
      </c>
      <c r="G771" t="s">
        <v>593</v>
      </c>
      <c r="J771" t="s">
        <v>614</v>
      </c>
      <c r="K771">
        <f t="shared" si="12"/>
        <v>-4903</v>
      </c>
    </row>
    <row r="772" spans="1:11" x14ac:dyDescent="0.45">
      <c r="A772" t="s">
        <v>91</v>
      </c>
      <c r="B772" t="s">
        <v>566</v>
      </c>
      <c r="C772" t="s">
        <v>577</v>
      </c>
      <c r="E772" t="s">
        <v>590</v>
      </c>
      <c r="F772">
        <v>46813</v>
      </c>
      <c r="G772" t="s">
        <v>595</v>
      </c>
      <c r="J772" t="s">
        <v>612</v>
      </c>
      <c r="K772">
        <f t="shared" si="12"/>
        <v>46813</v>
      </c>
    </row>
    <row r="773" spans="1:11" x14ac:dyDescent="0.45">
      <c r="A773" t="s">
        <v>91</v>
      </c>
      <c r="B773" t="s">
        <v>566</v>
      </c>
      <c r="D773" t="s">
        <v>583</v>
      </c>
      <c r="E773" t="s">
        <v>591</v>
      </c>
      <c r="F773">
        <v>756</v>
      </c>
      <c r="G773" t="s">
        <v>596</v>
      </c>
      <c r="J773" t="s">
        <v>607</v>
      </c>
      <c r="K773">
        <f t="shared" si="12"/>
        <v>-756</v>
      </c>
    </row>
    <row r="774" spans="1:11" x14ac:dyDescent="0.45">
      <c r="A774" t="s">
        <v>91</v>
      </c>
      <c r="B774" t="s">
        <v>566</v>
      </c>
      <c r="E774" t="s">
        <v>592</v>
      </c>
      <c r="F774">
        <v>23955</v>
      </c>
      <c r="G774" t="s">
        <v>595</v>
      </c>
      <c r="H774" t="s">
        <v>603</v>
      </c>
      <c r="I774">
        <v>11.92</v>
      </c>
      <c r="J774" t="s">
        <v>607</v>
      </c>
      <c r="K774">
        <f t="shared" si="12"/>
        <v>-23955</v>
      </c>
    </row>
    <row r="775" spans="1:11" x14ac:dyDescent="0.45">
      <c r="A775" t="s">
        <v>285</v>
      </c>
      <c r="B775" t="s">
        <v>566</v>
      </c>
      <c r="E775" t="s">
        <v>592</v>
      </c>
      <c r="F775">
        <v>55181</v>
      </c>
      <c r="G775" t="s">
        <v>595</v>
      </c>
      <c r="H775" t="s">
        <v>604</v>
      </c>
      <c r="I775">
        <v>10.91</v>
      </c>
      <c r="J775" t="s">
        <v>607</v>
      </c>
      <c r="K775">
        <f t="shared" si="12"/>
        <v>-55181</v>
      </c>
    </row>
    <row r="776" spans="1:11" x14ac:dyDescent="0.45">
      <c r="A776" t="s">
        <v>285</v>
      </c>
      <c r="B776" t="s">
        <v>566</v>
      </c>
      <c r="D776" t="s">
        <v>586</v>
      </c>
      <c r="E776" t="s">
        <v>591</v>
      </c>
      <c r="F776">
        <v>15107</v>
      </c>
      <c r="G776" t="s">
        <v>596</v>
      </c>
      <c r="J776" t="s">
        <v>614</v>
      </c>
      <c r="K776">
        <f t="shared" si="12"/>
        <v>-15107</v>
      </c>
    </row>
    <row r="777" spans="1:11" x14ac:dyDescent="0.45">
      <c r="A777" t="s">
        <v>285</v>
      </c>
      <c r="B777" t="s">
        <v>566</v>
      </c>
      <c r="D777" t="s">
        <v>583</v>
      </c>
      <c r="E777" t="s">
        <v>591</v>
      </c>
      <c r="F777">
        <v>3757</v>
      </c>
      <c r="G777" t="s">
        <v>598</v>
      </c>
      <c r="J777" t="s">
        <v>608</v>
      </c>
      <c r="K777">
        <f t="shared" si="12"/>
        <v>-3757</v>
      </c>
    </row>
    <row r="778" spans="1:11" x14ac:dyDescent="0.45">
      <c r="A778" t="s">
        <v>285</v>
      </c>
      <c r="B778" t="s">
        <v>566</v>
      </c>
      <c r="D778" t="s">
        <v>587</v>
      </c>
      <c r="E778" t="s">
        <v>591</v>
      </c>
      <c r="F778">
        <v>927</v>
      </c>
      <c r="G778" t="s">
        <v>596</v>
      </c>
      <c r="J778" t="s">
        <v>613</v>
      </c>
      <c r="K778">
        <f t="shared" si="12"/>
        <v>-927</v>
      </c>
    </row>
    <row r="779" spans="1:11" x14ac:dyDescent="0.45">
      <c r="A779" t="s">
        <v>201</v>
      </c>
      <c r="B779" t="s">
        <v>566</v>
      </c>
      <c r="E779" t="s">
        <v>592</v>
      </c>
      <c r="F779">
        <v>170844</v>
      </c>
      <c r="G779" t="s">
        <v>597</v>
      </c>
      <c r="H779" t="s">
        <v>600</v>
      </c>
      <c r="I779">
        <v>14.02</v>
      </c>
      <c r="J779" t="s">
        <v>606</v>
      </c>
      <c r="K779">
        <f t="shared" si="12"/>
        <v>-170844</v>
      </c>
    </row>
    <row r="780" spans="1:11" x14ac:dyDescent="0.45">
      <c r="A780" t="s">
        <v>131</v>
      </c>
      <c r="B780" t="s">
        <v>566</v>
      </c>
      <c r="E780" t="s">
        <v>592</v>
      </c>
      <c r="F780">
        <v>18265</v>
      </c>
      <c r="G780" t="s">
        <v>595</v>
      </c>
      <c r="H780" t="s">
        <v>599</v>
      </c>
      <c r="I780">
        <v>-9.91</v>
      </c>
      <c r="J780" t="s">
        <v>608</v>
      </c>
      <c r="K780">
        <f t="shared" si="12"/>
        <v>-18265</v>
      </c>
    </row>
    <row r="781" spans="1:11" x14ac:dyDescent="0.45">
      <c r="A781" t="s">
        <v>131</v>
      </c>
      <c r="B781" t="s">
        <v>566</v>
      </c>
      <c r="D781" t="s">
        <v>583</v>
      </c>
      <c r="E781" t="s">
        <v>591</v>
      </c>
      <c r="F781">
        <v>18330</v>
      </c>
      <c r="G781" t="s">
        <v>598</v>
      </c>
      <c r="J781" t="s">
        <v>609</v>
      </c>
      <c r="K781">
        <f t="shared" si="12"/>
        <v>-18330</v>
      </c>
    </row>
    <row r="782" spans="1:11" x14ac:dyDescent="0.45">
      <c r="A782" t="s">
        <v>102</v>
      </c>
      <c r="B782" t="s">
        <v>566</v>
      </c>
      <c r="D782" t="s">
        <v>582</v>
      </c>
      <c r="E782" t="s">
        <v>591</v>
      </c>
      <c r="F782">
        <v>36089</v>
      </c>
      <c r="G782" t="s">
        <v>593</v>
      </c>
      <c r="J782" t="s">
        <v>613</v>
      </c>
      <c r="K782">
        <f t="shared" si="12"/>
        <v>-36089</v>
      </c>
    </row>
    <row r="783" spans="1:11" x14ac:dyDescent="0.45">
      <c r="A783" t="s">
        <v>102</v>
      </c>
      <c r="B783" t="s">
        <v>566</v>
      </c>
      <c r="E783" t="s">
        <v>592</v>
      </c>
      <c r="F783">
        <v>38586</v>
      </c>
      <c r="G783" t="s">
        <v>593</v>
      </c>
      <c r="H783" t="s">
        <v>602</v>
      </c>
      <c r="I783">
        <v>17.98</v>
      </c>
      <c r="J783" t="s">
        <v>608</v>
      </c>
      <c r="K783">
        <f t="shared" si="12"/>
        <v>-38586</v>
      </c>
    </row>
    <row r="784" spans="1:11" x14ac:dyDescent="0.45">
      <c r="A784" t="s">
        <v>102</v>
      </c>
      <c r="B784" t="s">
        <v>566</v>
      </c>
      <c r="D784" t="s">
        <v>586</v>
      </c>
      <c r="E784" t="s">
        <v>591</v>
      </c>
      <c r="F784">
        <v>15701</v>
      </c>
      <c r="G784" t="s">
        <v>596</v>
      </c>
      <c r="J784" t="s">
        <v>608</v>
      </c>
      <c r="K784">
        <f t="shared" si="12"/>
        <v>-15701</v>
      </c>
    </row>
    <row r="785" spans="1:11" x14ac:dyDescent="0.45">
      <c r="A785" t="s">
        <v>112</v>
      </c>
      <c r="B785" t="s">
        <v>571</v>
      </c>
      <c r="D785" t="s">
        <v>588</v>
      </c>
      <c r="E785" t="s">
        <v>591</v>
      </c>
      <c r="F785">
        <v>9228</v>
      </c>
      <c r="G785" t="s">
        <v>595</v>
      </c>
      <c r="J785" t="s">
        <v>611</v>
      </c>
      <c r="K785">
        <f t="shared" si="12"/>
        <v>-9228</v>
      </c>
    </row>
    <row r="786" spans="1:11" x14ac:dyDescent="0.45">
      <c r="A786" t="s">
        <v>112</v>
      </c>
      <c r="B786" t="s">
        <v>571</v>
      </c>
      <c r="D786" t="s">
        <v>589</v>
      </c>
      <c r="E786" t="s">
        <v>591</v>
      </c>
      <c r="F786">
        <v>37026</v>
      </c>
      <c r="G786" t="s">
        <v>597</v>
      </c>
      <c r="J786" t="s">
        <v>610</v>
      </c>
      <c r="K786">
        <f t="shared" si="12"/>
        <v>-37026</v>
      </c>
    </row>
    <row r="787" spans="1:11" x14ac:dyDescent="0.45">
      <c r="A787" t="s">
        <v>112</v>
      </c>
      <c r="B787" t="s">
        <v>571</v>
      </c>
      <c r="D787" t="s">
        <v>583</v>
      </c>
      <c r="E787" t="s">
        <v>591</v>
      </c>
      <c r="F787">
        <v>9161</v>
      </c>
      <c r="G787" t="s">
        <v>593</v>
      </c>
      <c r="J787" t="s">
        <v>606</v>
      </c>
      <c r="K787">
        <f t="shared" si="12"/>
        <v>-9161</v>
      </c>
    </row>
    <row r="788" spans="1:11" x14ac:dyDescent="0.45">
      <c r="A788" t="s">
        <v>112</v>
      </c>
      <c r="B788" t="s">
        <v>571</v>
      </c>
      <c r="D788" t="s">
        <v>588</v>
      </c>
      <c r="E788" t="s">
        <v>591</v>
      </c>
      <c r="F788">
        <v>7517</v>
      </c>
      <c r="G788" t="s">
        <v>593</v>
      </c>
      <c r="J788" t="s">
        <v>606</v>
      </c>
      <c r="K788">
        <f t="shared" si="12"/>
        <v>-7517</v>
      </c>
    </row>
    <row r="789" spans="1:11" x14ac:dyDescent="0.45">
      <c r="A789" t="s">
        <v>112</v>
      </c>
      <c r="B789" t="s">
        <v>571</v>
      </c>
      <c r="E789" t="s">
        <v>592</v>
      </c>
      <c r="F789">
        <v>20162</v>
      </c>
      <c r="G789" t="s">
        <v>595</v>
      </c>
      <c r="H789" t="s">
        <v>603</v>
      </c>
      <c r="I789">
        <v>16.64</v>
      </c>
      <c r="J789" t="s">
        <v>611</v>
      </c>
      <c r="K789">
        <f t="shared" si="12"/>
        <v>-20162</v>
      </c>
    </row>
    <row r="790" spans="1:11" x14ac:dyDescent="0.45">
      <c r="A790" t="s">
        <v>406</v>
      </c>
      <c r="B790" t="s">
        <v>571</v>
      </c>
      <c r="C790" t="s">
        <v>575</v>
      </c>
      <c r="E790" t="s">
        <v>590</v>
      </c>
      <c r="F790">
        <v>49264</v>
      </c>
      <c r="G790" t="s">
        <v>593</v>
      </c>
      <c r="J790" t="s">
        <v>609</v>
      </c>
      <c r="K790">
        <f t="shared" si="12"/>
        <v>49264</v>
      </c>
    </row>
    <row r="791" spans="1:11" x14ac:dyDescent="0.45">
      <c r="A791" t="s">
        <v>406</v>
      </c>
      <c r="B791" t="s">
        <v>571</v>
      </c>
      <c r="D791" t="s">
        <v>586</v>
      </c>
      <c r="E791" t="s">
        <v>591</v>
      </c>
      <c r="F791">
        <v>16629</v>
      </c>
      <c r="G791" t="s">
        <v>597</v>
      </c>
      <c r="J791" t="s">
        <v>609</v>
      </c>
      <c r="K791">
        <f t="shared" si="12"/>
        <v>-16629</v>
      </c>
    </row>
    <row r="792" spans="1:11" x14ac:dyDescent="0.45">
      <c r="A792" t="s">
        <v>139</v>
      </c>
      <c r="B792" t="s">
        <v>571</v>
      </c>
      <c r="E792" t="s">
        <v>592</v>
      </c>
      <c r="F792">
        <v>21299</v>
      </c>
      <c r="G792" t="s">
        <v>596</v>
      </c>
      <c r="H792" t="s">
        <v>602</v>
      </c>
      <c r="I792">
        <v>5.15</v>
      </c>
      <c r="J792" t="s">
        <v>614</v>
      </c>
      <c r="K792">
        <f t="shared" si="12"/>
        <v>-21299</v>
      </c>
    </row>
    <row r="793" spans="1:11" x14ac:dyDescent="0.45">
      <c r="A793" t="s">
        <v>139</v>
      </c>
      <c r="B793" t="s">
        <v>571</v>
      </c>
      <c r="E793" t="s">
        <v>592</v>
      </c>
      <c r="F793">
        <v>11118</v>
      </c>
      <c r="G793" t="s">
        <v>595</v>
      </c>
      <c r="H793" t="s">
        <v>603</v>
      </c>
      <c r="I793">
        <v>16.11</v>
      </c>
      <c r="J793" t="s">
        <v>612</v>
      </c>
      <c r="K793">
        <f t="shared" si="12"/>
        <v>-11118</v>
      </c>
    </row>
    <row r="794" spans="1:11" x14ac:dyDescent="0.45">
      <c r="A794" t="s">
        <v>54</v>
      </c>
      <c r="B794" t="s">
        <v>571</v>
      </c>
      <c r="C794" t="s">
        <v>576</v>
      </c>
      <c r="E794" t="s">
        <v>590</v>
      </c>
      <c r="F794">
        <v>25418</v>
      </c>
      <c r="G794" t="s">
        <v>597</v>
      </c>
      <c r="J794" t="s">
        <v>610</v>
      </c>
      <c r="K794">
        <f t="shared" si="12"/>
        <v>25418</v>
      </c>
    </row>
    <row r="795" spans="1:11" x14ac:dyDescent="0.45">
      <c r="A795" t="s">
        <v>54</v>
      </c>
      <c r="B795" t="s">
        <v>571</v>
      </c>
      <c r="D795" t="s">
        <v>588</v>
      </c>
      <c r="E795" t="s">
        <v>591</v>
      </c>
      <c r="F795">
        <v>9564</v>
      </c>
      <c r="G795" t="s">
        <v>596</v>
      </c>
      <c r="J795" t="s">
        <v>610</v>
      </c>
      <c r="K795">
        <f t="shared" si="12"/>
        <v>-9564</v>
      </c>
    </row>
    <row r="796" spans="1:11" x14ac:dyDescent="0.45">
      <c r="A796" t="s">
        <v>54</v>
      </c>
      <c r="B796" t="s">
        <v>571</v>
      </c>
      <c r="D796" t="s">
        <v>584</v>
      </c>
      <c r="E796" t="s">
        <v>591</v>
      </c>
      <c r="F796">
        <v>5089</v>
      </c>
      <c r="G796" t="s">
        <v>597</v>
      </c>
      <c r="J796" t="s">
        <v>612</v>
      </c>
      <c r="K796">
        <f t="shared" si="12"/>
        <v>-5089</v>
      </c>
    </row>
    <row r="797" spans="1:11" x14ac:dyDescent="0.45">
      <c r="A797" t="s">
        <v>54</v>
      </c>
      <c r="B797" t="s">
        <v>571</v>
      </c>
      <c r="E797" t="s">
        <v>592</v>
      </c>
      <c r="F797">
        <v>23772</v>
      </c>
      <c r="G797" t="s">
        <v>598</v>
      </c>
      <c r="H797" t="s">
        <v>602</v>
      </c>
      <c r="I797">
        <v>-1.4</v>
      </c>
      <c r="J797" t="s">
        <v>612</v>
      </c>
      <c r="K797">
        <f t="shared" si="12"/>
        <v>-23772</v>
      </c>
    </row>
    <row r="798" spans="1:11" x14ac:dyDescent="0.45">
      <c r="A798" t="s">
        <v>42</v>
      </c>
      <c r="B798" t="s">
        <v>571</v>
      </c>
      <c r="D798" t="s">
        <v>586</v>
      </c>
      <c r="E798" t="s">
        <v>591</v>
      </c>
      <c r="F798">
        <v>15998</v>
      </c>
      <c r="G798" t="s">
        <v>595</v>
      </c>
      <c r="J798" t="s">
        <v>605</v>
      </c>
      <c r="K798">
        <f t="shared" si="12"/>
        <v>-15998</v>
      </c>
    </row>
    <row r="799" spans="1:11" x14ac:dyDescent="0.45">
      <c r="A799" t="s">
        <v>42</v>
      </c>
      <c r="B799" t="s">
        <v>571</v>
      </c>
      <c r="D799" t="s">
        <v>583</v>
      </c>
      <c r="E799" t="s">
        <v>591</v>
      </c>
      <c r="F799">
        <v>16353</v>
      </c>
      <c r="G799" t="s">
        <v>597</v>
      </c>
      <c r="J799" t="s">
        <v>608</v>
      </c>
      <c r="K799">
        <f t="shared" si="12"/>
        <v>-16353</v>
      </c>
    </row>
    <row r="800" spans="1:11" x14ac:dyDescent="0.45">
      <c r="A800" t="s">
        <v>157</v>
      </c>
      <c r="B800" t="s">
        <v>571</v>
      </c>
      <c r="D800" t="s">
        <v>583</v>
      </c>
      <c r="E800" t="s">
        <v>591</v>
      </c>
      <c r="F800">
        <v>1730</v>
      </c>
      <c r="G800" t="s">
        <v>596</v>
      </c>
      <c r="J800" t="s">
        <v>613</v>
      </c>
      <c r="K800">
        <f t="shared" si="12"/>
        <v>-1730</v>
      </c>
    </row>
    <row r="801" spans="1:11" x14ac:dyDescent="0.45">
      <c r="A801" t="s">
        <v>157</v>
      </c>
      <c r="B801" t="s">
        <v>571</v>
      </c>
      <c r="D801" t="s">
        <v>587</v>
      </c>
      <c r="E801" t="s">
        <v>591</v>
      </c>
      <c r="F801">
        <v>2189</v>
      </c>
      <c r="G801" t="s">
        <v>598</v>
      </c>
      <c r="J801" t="s">
        <v>607</v>
      </c>
      <c r="K801">
        <f t="shared" si="12"/>
        <v>-2189</v>
      </c>
    </row>
    <row r="802" spans="1:11" x14ac:dyDescent="0.45">
      <c r="A802" t="s">
        <v>157</v>
      </c>
      <c r="B802" t="s">
        <v>571</v>
      </c>
      <c r="D802" t="s">
        <v>587</v>
      </c>
      <c r="E802" t="s">
        <v>591</v>
      </c>
      <c r="F802">
        <v>884</v>
      </c>
      <c r="G802" t="s">
        <v>593</v>
      </c>
      <c r="J802" t="s">
        <v>607</v>
      </c>
      <c r="K802">
        <f t="shared" si="12"/>
        <v>-884</v>
      </c>
    </row>
    <row r="803" spans="1:11" x14ac:dyDescent="0.45">
      <c r="A803" t="s">
        <v>157</v>
      </c>
      <c r="B803" t="s">
        <v>571</v>
      </c>
      <c r="D803" t="s">
        <v>587</v>
      </c>
      <c r="E803" t="s">
        <v>591</v>
      </c>
      <c r="F803">
        <v>855</v>
      </c>
      <c r="G803" t="s">
        <v>596</v>
      </c>
      <c r="J803" t="s">
        <v>614</v>
      </c>
      <c r="K803">
        <f t="shared" si="12"/>
        <v>-855</v>
      </c>
    </row>
    <row r="804" spans="1:11" x14ac:dyDescent="0.45">
      <c r="A804" t="s">
        <v>370</v>
      </c>
      <c r="B804" t="s">
        <v>571</v>
      </c>
      <c r="C804" t="s">
        <v>577</v>
      </c>
      <c r="E804" t="s">
        <v>590</v>
      </c>
      <c r="F804">
        <v>157372</v>
      </c>
      <c r="G804" t="s">
        <v>596</v>
      </c>
      <c r="J804" t="s">
        <v>607</v>
      </c>
      <c r="K804">
        <f t="shared" si="12"/>
        <v>157372</v>
      </c>
    </row>
    <row r="805" spans="1:11" x14ac:dyDescent="0.45">
      <c r="A805" t="s">
        <v>370</v>
      </c>
      <c r="B805" t="s">
        <v>571</v>
      </c>
      <c r="C805" t="s">
        <v>578</v>
      </c>
      <c r="E805" t="s">
        <v>590</v>
      </c>
      <c r="F805">
        <v>173693</v>
      </c>
      <c r="G805" t="s">
        <v>596</v>
      </c>
      <c r="J805" t="s">
        <v>613</v>
      </c>
      <c r="K805">
        <f t="shared" si="12"/>
        <v>173693</v>
      </c>
    </row>
    <row r="806" spans="1:11" x14ac:dyDescent="0.45">
      <c r="A806" t="s">
        <v>215</v>
      </c>
      <c r="B806" t="s">
        <v>571</v>
      </c>
      <c r="D806" t="s">
        <v>583</v>
      </c>
      <c r="E806" t="s">
        <v>591</v>
      </c>
      <c r="F806">
        <v>9786</v>
      </c>
      <c r="G806" t="s">
        <v>594</v>
      </c>
      <c r="J806" t="s">
        <v>614</v>
      </c>
      <c r="K806">
        <f t="shared" si="12"/>
        <v>-9786</v>
      </c>
    </row>
    <row r="807" spans="1:11" x14ac:dyDescent="0.45">
      <c r="A807" t="s">
        <v>215</v>
      </c>
      <c r="B807" t="s">
        <v>571</v>
      </c>
      <c r="C807" t="s">
        <v>578</v>
      </c>
      <c r="E807" t="s">
        <v>590</v>
      </c>
      <c r="F807">
        <v>119342</v>
      </c>
      <c r="G807" t="s">
        <v>596</v>
      </c>
      <c r="J807" t="s">
        <v>609</v>
      </c>
      <c r="K807">
        <f t="shared" si="12"/>
        <v>119342</v>
      </c>
    </row>
    <row r="808" spans="1:11" x14ac:dyDescent="0.45">
      <c r="A808" t="s">
        <v>171</v>
      </c>
      <c r="B808" t="s">
        <v>571</v>
      </c>
      <c r="C808" t="s">
        <v>575</v>
      </c>
      <c r="E808" t="s">
        <v>590</v>
      </c>
      <c r="F808">
        <v>92392</v>
      </c>
      <c r="G808" t="s">
        <v>594</v>
      </c>
      <c r="J808" t="s">
        <v>614</v>
      </c>
      <c r="K808">
        <f t="shared" si="12"/>
        <v>92392</v>
      </c>
    </row>
    <row r="809" spans="1:11" x14ac:dyDescent="0.45">
      <c r="A809" t="s">
        <v>99</v>
      </c>
      <c r="B809" t="s">
        <v>571</v>
      </c>
      <c r="D809" t="s">
        <v>587</v>
      </c>
      <c r="E809" t="s">
        <v>591</v>
      </c>
      <c r="F809">
        <v>1590</v>
      </c>
      <c r="G809" t="s">
        <v>596</v>
      </c>
      <c r="J809" t="s">
        <v>614</v>
      </c>
      <c r="K809">
        <f t="shared" si="12"/>
        <v>-1590</v>
      </c>
    </row>
    <row r="810" spans="1:11" x14ac:dyDescent="0.45">
      <c r="A810" t="s">
        <v>99</v>
      </c>
      <c r="B810" t="s">
        <v>571</v>
      </c>
      <c r="D810" t="s">
        <v>588</v>
      </c>
      <c r="E810" t="s">
        <v>591</v>
      </c>
      <c r="F810">
        <v>6661</v>
      </c>
      <c r="G810" t="s">
        <v>596</v>
      </c>
      <c r="J810" t="s">
        <v>614</v>
      </c>
      <c r="K810">
        <f t="shared" si="12"/>
        <v>-6661</v>
      </c>
    </row>
    <row r="811" spans="1:11" x14ac:dyDescent="0.45">
      <c r="A811" t="s">
        <v>142</v>
      </c>
      <c r="B811" t="s">
        <v>571</v>
      </c>
      <c r="C811" t="s">
        <v>577</v>
      </c>
      <c r="E811" t="s">
        <v>590</v>
      </c>
      <c r="F811">
        <v>60925</v>
      </c>
      <c r="G811" t="s">
        <v>595</v>
      </c>
      <c r="J811" t="s">
        <v>607</v>
      </c>
      <c r="K811">
        <f t="shared" si="12"/>
        <v>60925</v>
      </c>
    </row>
    <row r="812" spans="1:11" x14ac:dyDescent="0.45">
      <c r="A812" t="s">
        <v>280</v>
      </c>
      <c r="B812" t="s">
        <v>571</v>
      </c>
      <c r="D812" t="s">
        <v>586</v>
      </c>
      <c r="E812" t="s">
        <v>591</v>
      </c>
      <c r="F812">
        <v>5721</v>
      </c>
      <c r="G812" t="s">
        <v>595</v>
      </c>
      <c r="J812" t="s">
        <v>607</v>
      </c>
      <c r="K812">
        <f t="shared" si="12"/>
        <v>-5721</v>
      </c>
    </row>
    <row r="813" spans="1:11" x14ac:dyDescent="0.45">
      <c r="A813" t="s">
        <v>280</v>
      </c>
      <c r="B813" t="s">
        <v>571</v>
      </c>
      <c r="C813" t="s">
        <v>581</v>
      </c>
      <c r="E813" t="s">
        <v>590</v>
      </c>
      <c r="F813">
        <v>167967</v>
      </c>
      <c r="G813" t="s">
        <v>595</v>
      </c>
      <c r="J813" t="s">
        <v>612</v>
      </c>
      <c r="K813">
        <f t="shared" si="12"/>
        <v>167967</v>
      </c>
    </row>
    <row r="814" spans="1:11" x14ac:dyDescent="0.45">
      <c r="A814" t="s">
        <v>280</v>
      </c>
      <c r="B814" t="s">
        <v>571</v>
      </c>
      <c r="C814" t="s">
        <v>577</v>
      </c>
      <c r="E814" t="s">
        <v>590</v>
      </c>
      <c r="F814">
        <v>155742</v>
      </c>
      <c r="G814" t="s">
        <v>593</v>
      </c>
      <c r="J814" t="s">
        <v>611</v>
      </c>
      <c r="K814">
        <f t="shared" si="12"/>
        <v>155742</v>
      </c>
    </row>
    <row r="815" spans="1:11" x14ac:dyDescent="0.45">
      <c r="A815" t="s">
        <v>280</v>
      </c>
      <c r="B815" t="s">
        <v>571</v>
      </c>
      <c r="C815" t="s">
        <v>577</v>
      </c>
      <c r="E815" t="s">
        <v>590</v>
      </c>
      <c r="F815">
        <v>142228</v>
      </c>
      <c r="G815" t="s">
        <v>596</v>
      </c>
      <c r="J815" t="s">
        <v>606</v>
      </c>
      <c r="K815">
        <f t="shared" si="12"/>
        <v>142228</v>
      </c>
    </row>
    <row r="816" spans="1:11" x14ac:dyDescent="0.45">
      <c r="A816" t="s">
        <v>175</v>
      </c>
      <c r="B816" t="s">
        <v>571</v>
      </c>
      <c r="D816" t="s">
        <v>585</v>
      </c>
      <c r="E816" t="s">
        <v>591</v>
      </c>
      <c r="F816">
        <v>1776</v>
      </c>
      <c r="G816" t="s">
        <v>596</v>
      </c>
      <c r="J816" t="s">
        <v>611</v>
      </c>
      <c r="K816">
        <f t="shared" si="12"/>
        <v>-1776</v>
      </c>
    </row>
    <row r="817" spans="1:11" x14ac:dyDescent="0.45">
      <c r="A817" t="s">
        <v>405</v>
      </c>
      <c r="B817" t="s">
        <v>571</v>
      </c>
      <c r="C817" t="s">
        <v>580</v>
      </c>
      <c r="E817" t="s">
        <v>590</v>
      </c>
      <c r="F817">
        <v>118376</v>
      </c>
      <c r="G817" t="s">
        <v>594</v>
      </c>
      <c r="J817" t="s">
        <v>608</v>
      </c>
      <c r="K817">
        <f t="shared" si="12"/>
        <v>118376</v>
      </c>
    </row>
    <row r="818" spans="1:11" x14ac:dyDescent="0.45">
      <c r="A818" t="s">
        <v>247</v>
      </c>
      <c r="B818" t="s">
        <v>571</v>
      </c>
      <c r="D818" t="s">
        <v>588</v>
      </c>
      <c r="E818" t="s">
        <v>591</v>
      </c>
      <c r="F818">
        <v>2685</v>
      </c>
      <c r="G818" t="s">
        <v>594</v>
      </c>
      <c r="J818" t="s">
        <v>611</v>
      </c>
      <c r="K818">
        <f t="shared" si="12"/>
        <v>-2685</v>
      </c>
    </row>
    <row r="819" spans="1:11" x14ac:dyDescent="0.45">
      <c r="A819" t="s">
        <v>247</v>
      </c>
      <c r="B819" t="s">
        <v>571</v>
      </c>
      <c r="D819" t="s">
        <v>589</v>
      </c>
      <c r="E819" t="s">
        <v>591</v>
      </c>
      <c r="F819">
        <v>46115</v>
      </c>
      <c r="G819" t="s">
        <v>597</v>
      </c>
      <c r="J819" t="s">
        <v>612</v>
      </c>
      <c r="K819">
        <f t="shared" si="12"/>
        <v>-46115</v>
      </c>
    </row>
    <row r="820" spans="1:11" x14ac:dyDescent="0.45">
      <c r="A820" t="s">
        <v>356</v>
      </c>
      <c r="B820" t="s">
        <v>571</v>
      </c>
      <c r="D820" t="s">
        <v>583</v>
      </c>
      <c r="E820" t="s">
        <v>591</v>
      </c>
      <c r="F820">
        <v>18114</v>
      </c>
      <c r="G820" t="s">
        <v>594</v>
      </c>
      <c r="J820" t="s">
        <v>611</v>
      </c>
      <c r="K820">
        <f t="shared" si="12"/>
        <v>-18114</v>
      </c>
    </row>
    <row r="821" spans="1:11" x14ac:dyDescent="0.45">
      <c r="A821" t="s">
        <v>356</v>
      </c>
      <c r="B821" t="s">
        <v>571</v>
      </c>
      <c r="D821" t="s">
        <v>583</v>
      </c>
      <c r="E821" t="s">
        <v>591</v>
      </c>
      <c r="F821">
        <v>17794</v>
      </c>
      <c r="G821" t="s">
        <v>596</v>
      </c>
      <c r="J821" t="s">
        <v>614</v>
      </c>
      <c r="K821">
        <f t="shared" si="12"/>
        <v>-17794</v>
      </c>
    </row>
    <row r="822" spans="1:11" x14ac:dyDescent="0.45">
      <c r="A822" t="s">
        <v>454</v>
      </c>
      <c r="B822" t="s">
        <v>571</v>
      </c>
      <c r="D822" t="s">
        <v>586</v>
      </c>
      <c r="E822" t="s">
        <v>591</v>
      </c>
      <c r="F822">
        <v>11744</v>
      </c>
      <c r="G822" t="s">
        <v>598</v>
      </c>
      <c r="J822" t="s">
        <v>605</v>
      </c>
      <c r="K822">
        <f t="shared" si="12"/>
        <v>-11744</v>
      </c>
    </row>
    <row r="823" spans="1:11" x14ac:dyDescent="0.45">
      <c r="A823" t="s">
        <v>26</v>
      </c>
      <c r="B823" t="s">
        <v>571</v>
      </c>
      <c r="D823" t="s">
        <v>583</v>
      </c>
      <c r="E823" t="s">
        <v>591</v>
      </c>
      <c r="F823">
        <v>12161</v>
      </c>
      <c r="G823" t="s">
        <v>593</v>
      </c>
      <c r="J823" t="s">
        <v>612</v>
      </c>
      <c r="K823">
        <f t="shared" si="12"/>
        <v>-12161</v>
      </c>
    </row>
    <row r="824" spans="1:11" x14ac:dyDescent="0.45">
      <c r="A824" t="s">
        <v>26</v>
      </c>
      <c r="B824" t="s">
        <v>571</v>
      </c>
      <c r="C824" t="s">
        <v>577</v>
      </c>
      <c r="E824" t="s">
        <v>590</v>
      </c>
      <c r="F824">
        <v>78724</v>
      </c>
      <c r="G824" t="s">
        <v>594</v>
      </c>
      <c r="J824" t="s">
        <v>606</v>
      </c>
      <c r="K824">
        <f t="shared" si="12"/>
        <v>78724</v>
      </c>
    </row>
    <row r="825" spans="1:11" x14ac:dyDescent="0.45">
      <c r="A825" t="s">
        <v>170</v>
      </c>
      <c r="B825" t="s">
        <v>571</v>
      </c>
      <c r="C825" t="s">
        <v>579</v>
      </c>
      <c r="E825" t="s">
        <v>590</v>
      </c>
      <c r="F825">
        <v>80561</v>
      </c>
      <c r="G825" t="s">
        <v>595</v>
      </c>
      <c r="J825" t="s">
        <v>609</v>
      </c>
      <c r="K825">
        <f t="shared" si="12"/>
        <v>80561</v>
      </c>
    </row>
    <row r="826" spans="1:11" x14ac:dyDescent="0.45">
      <c r="A826" t="s">
        <v>170</v>
      </c>
      <c r="B826" t="s">
        <v>571</v>
      </c>
      <c r="C826" t="s">
        <v>578</v>
      </c>
      <c r="E826" t="s">
        <v>590</v>
      </c>
      <c r="F826">
        <v>71555</v>
      </c>
      <c r="G826" t="s">
        <v>594</v>
      </c>
      <c r="J826" t="s">
        <v>606</v>
      </c>
      <c r="K826">
        <f t="shared" si="12"/>
        <v>71555</v>
      </c>
    </row>
    <row r="827" spans="1:11" x14ac:dyDescent="0.45">
      <c r="A827" t="s">
        <v>170</v>
      </c>
      <c r="B827" t="s">
        <v>571</v>
      </c>
      <c r="D827" t="s">
        <v>583</v>
      </c>
      <c r="E827" t="s">
        <v>591</v>
      </c>
      <c r="F827">
        <v>3987</v>
      </c>
      <c r="G827" t="s">
        <v>595</v>
      </c>
      <c r="J827" t="s">
        <v>612</v>
      </c>
      <c r="K827">
        <f t="shared" si="12"/>
        <v>-3987</v>
      </c>
    </row>
    <row r="828" spans="1:11" x14ac:dyDescent="0.45">
      <c r="A828" t="s">
        <v>436</v>
      </c>
      <c r="B828" t="s">
        <v>571</v>
      </c>
      <c r="C828" t="s">
        <v>581</v>
      </c>
      <c r="E828" t="s">
        <v>590</v>
      </c>
      <c r="F828">
        <v>116477</v>
      </c>
      <c r="G828" t="s">
        <v>597</v>
      </c>
      <c r="J828" t="s">
        <v>614</v>
      </c>
      <c r="K828">
        <f t="shared" si="12"/>
        <v>116477</v>
      </c>
    </row>
    <row r="829" spans="1:11" x14ac:dyDescent="0.45">
      <c r="A829" t="s">
        <v>436</v>
      </c>
      <c r="B829" t="s">
        <v>571</v>
      </c>
      <c r="D829" t="s">
        <v>582</v>
      </c>
      <c r="E829" t="s">
        <v>591</v>
      </c>
      <c r="F829">
        <v>32024</v>
      </c>
      <c r="G829" t="s">
        <v>598</v>
      </c>
      <c r="J829" t="s">
        <v>606</v>
      </c>
      <c r="K829">
        <f t="shared" si="12"/>
        <v>-32024</v>
      </c>
    </row>
    <row r="830" spans="1:11" x14ac:dyDescent="0.45">
      <c r="A830" t="s">
        <v>436</v>
      </c>
      <c r="B830" t="s">
        <v>571</v>
      </c>
      <c r="D830" t="s">
        <v>584</v>
      </c>
      <c r="E830" t="s">
        <v>591</v>
      </c>
      <c r="F830">
        <v>1296</v>
      </c>
      <c r="G830" t="s">
        <v>595</v>
      </c>
      <c r="J830" t="s">
        <v>607</v>
      </c>
      <c r="K830">
        <f t="shared" si="12"/>
        <v>-1296</v>
      </c>
    </row>
    <row r="831" spans="1:11" x14ac:dyDescent="0.45">
      <c r="A831" t="s">
        <v>499</v>
      </c>
      <c r="B831" t="s">
        <v>571</v>
      </c>
      <c r="C831" t="s">
        <v>581</v>
      </c>
      <c r="E831" t="s">
        <v>590</v>
      </c>
      <c r="F831">
        <v>159597</v>
      </c>
      <c r="G831" t="s">
        <v>596</v>
      </c>
      <c r="J831" t="s">
        <v>607</v>
      </c>
      <c r="K831">
        <f t="shared" si="12"/>
        <v>159597</v>
      </c>
    </row>
    <row r="832" spans="1:11" x14ac:dyDescent="0.45">
      <c r="A832" t="s">
        <v>384</v>
      </c>
      <c r="B832" t="s">
        <v>571</v>
      </c>
      <c r="C832" t="s">
        <v>575</v>
      </c>
      <c r="E832" t="s">
        <v>590</v>
      </c>
      <c r="F832">
        <v>131671</v>
      </c>
      <c r="G832" t="s">
        <v>594</v>
      </c>
      <c r="J832" t="s">
        <v>606</v>
      </c>
      <c r="K832">
        <f t="shared" si="12"/>
        <v>131671</v>
      </c>
    </row>
    <row r="833" spans="1:11" x14ac:dyDescent="0.45">
      <c r="A833" t="s">
        <v>224</v>
      </c>
      <c r="B833" t="s">
        <v>571</v>
      </c>
      <c r="D833" t="s">
        <v>589</v>
      </c>
      <c r="E833" t="s">
        <v>591</v>
      </c>
      <c r="F833">
        <v>39032</v>
      </c>
      <c r="G833" t="s">
        <v>597</v>
      </c>
      <c r="J833" t="s">
        <v>606</v>
      </c>
      <c r="K833">
        <f t="shared" si="12"/>
        <v>-39032</v>
      </c>
    </row>
    <row r="834" spans="1:11" x14ac:dyDescent="0.45">
      <c r="A834" t="s">
        <v>224</v>
      </c>
      <c r="B834" t="s">
        <v>571</v>
      </c>
      <c r="C834" t="s">
        <v>576</v>
      </c>
      <c r="E834" t="s">
        <v>590</v>
      </c>
      <c r="F834">
        <v>27760</v>
      </c>
      <c r="G834" t="s">
        <v>593</v>
      </c>
      <c r="J834" t="s">
        <v>606</v>
      </c>
      <c r="K834">
        <f t="shared" ref="K834:K897" si="13">IF(E834= "Income", F834, -F834)</f>
        <v>27760</v>
      </c>
    </row>
    <row r="835" spans="1:11" x14ac:dyDescent="0.45">
      <c r="A835" t="s">
        <v>132</v>
      </c>
      <c r="B835" t="s">
        <v>573</v>
      </c>
      <c r="D835" t="s">
        <v>586</v>
      </c>
      <c r="E835" t="s">
        <v>591</v>
      </c>
      <c r="F835">
        <v>17623</v>
      </c>
      <c r="G835" t="s">
        <v>595</v>
      </c>
      <c r="J835" t="s">
        <v>613</v>
      </c>
      <c r="K835">
        <f t="shared" si="13"/>
        <v>-17623</v>
      </c>
    </row>
    <row r="836" spans="1:11" x14ac:dyDescent="0.45">
      <c r="A836" t="s">
        <v>132</v>
      </c>
      <c r="B836" t="s">
        <v>573</v>
      </c>
      <c r="C836" t="s">
        <v>577</v>
      </c>
      <c r="E836" t="s">
        <v>590</v>
      </c>
      <c r="F836">
        <v>52929</v>
      </c>
      <c r="G836" t="s">
        <v>593</v>
      </c>
      <c r="J836" t="s">
        <v>607</v>
      </c>
      <c r="K836">
        <f t="shared" si="13"/>
        <v>52929</v>
      </c>
    </row>
    <row r="837" spans="1:11" x14ac:dyDescent="0.45">
      <c r="A837" t="s">
        <v>132</v>
      </c>
      <c r="B837" t="s">
        <v>573</v>
      </c>
      <c r="D837" t="s">
        <v>586</v>
      </c>
      <c r="E837" t="s">
        <v>591</v>
      </c>
      <c r="F837">
        <v>12893</v>
      </c>
      <c r="G837" t="s">
        <v>595</v>
      </c>
      <c r="J837" t="s">
        <v>612</v>
      </c>
      <c r="K837">
        <f t="shared" si="13"/>
        <v>-12893</v>
      </c>
    </row>
    <row r="838" spans="1:11" x14ac:dyDescent="0.45">
      <c r="A838" t="s">
        <v>132</v>
      </c>
      <c r="B838" t="s">
        <v>573</v>
      </c>
      <c r="C838" t="s">
        <v>580</v>
      </c>
      <c r="E838" t="s">
        <v>590</v>
      </c>
      <c r="F838">
        <v>94125</v>
      </c>
      <c r="G838" t="s">
        <v>594</v>
      </c>
      <c r="J838" t="s">
        <v>609</v>
      </c>
      <c r="K838">
        <f t="shared" si="13"/>
        <v>94125</v>
      </c>
    </row>
    <row r="839" spans="1:11" x14ac:dyDescent="0.45">
      <c r="A839" t="s">
        <v>235</v>
      </c>
      <c r="B839" t="s">
        <v>573</v>
      </c>
      <c r="D839" t="s">
        <v>585</v>
      </c>
      <c r="E839" t="s">
        <v>591</v>
      </c>
      <c r="F839">
        <v>3262</v>
      </c>
      <c r="G839" t="s">
        <v>598</v>
      </c>
      <c r="J839" t="s">
        <v>608</v>
      </c>
      <c r="K839">
        <f t="shared" si="13"/>
        <v>-3262</v>
      </c>
    </row>
    <row r="840" spans="1:11" x14ac:dyDescent="0.45">
      <c r="A840" t="s">
        <v>235</v>
      </c>
      <c r="B840" t="s">
        <v>573</v>
      </c>
      <c r="C840" t="s">
        <v>575</v>
      </c>
      <c r="E840" t="s">
        <v>590</v>
      </c>
      <c r="F840">
        <v>176378</v>
      </c>
      <c r="G840" t="s">
        <v>598</v>
      </c>
      <c r="J840" t="s">
        <v>609</v>
      </c>
      <c r="K840">
        <f t="shared" si="13"/>
        <v>176378</v>
      </c>
    </row>
    <row r="841" spans="1:11" x14ac:dyDescent="0.45">
      <c r="A841" t="s">
        <v>320</v>
      </c>
      <c r="B841" t="s">
        <v>573</v>
      </c>
      <c r="D841" t="s">
        <v>588</v>
      </c>
      <c r="E841" t="s">
        <v>591</v>
      </c>
      <c r="F841">
        <v>4381</v>
      </c>
      <c r="G841" t="s">
        <v>596</v>
      </c>
      <c r="J841" t="s">
        <v>612</v>
      </c>
      <c r="K841">
        <f t="shared" si="13"/>
        <v>-4381</v>
      </c>
    </row>
    <row r="842" spans="1:11" x14ac:dyDescent="0.45">
      <c r="A842" t="s">
        <v>211</v>
      </c>
      <c r="B842" t="s">
        <v>573</v>
      </c>
      <c r="C842" t="s">
        <v>580</v>
      </c>
      <c r="E842" t="s">
        <v>590</v>
      </c>
      <c r="F842">
        <v>94015</v>
      </c>
      <c r="G842" t="s">
        <v>593</v>
      </c>
      <c r="J842" t="s">
        <v>612</v>
      </c>
      <c r="K842">
        <f t="shared" si="13"/>
        <v>94015</v>
      </c>
    </row>
    <row r="843" spans="1:11" x14ac:dyDescent="0.45">
      <c r="A843" t="s">
        <v>544</v>
      </c>
      <c r="B843" t="s">
        <v>573</v>
      </c>
      <c r="D843" t="s">
        <v>588</v>
      </c>
      <c r="E843" t="s">
        <v>591</v>
      </c>
      <c r="F843">
        <v>5663</v>
      </c>
      <c r="G843" t="s">
        <v>597</v>
      </c>
      <c r="J843" t="s">
        <v>611</v>
      </c>
      <c r="K843">
        <f t="shared" si="13"/>
        <v>-5663</v>
      </c>
    </row>
    <row r="844" spans="1:11" x14ac:dyDescent="0.45">
      <c r="A844" t="s">
        <v>256</v>
      </c>
      <c r="B844" t="s">
        <v>573</v>
      </c>
      <c r="D844" t="s">
        <v>585</v>
      </c>
      <c r="E844" t="s">
        <v>591</v>
      </c>
      <c r="F844">
        <v>11601</v>
      </c>
      <c r="G844" t="s">
        <v>595</v>
      </c>
      <c r="J844" t="s">
        <v>611</v>
      </c>
      <c r="K844">
        <f t="shared" si="13"/>
        <v>-11601</v>
      </c>
    </row>
    <row r="845" spans="1:11" x14ac:dyDescent="0.45">
      <c r="A845" t="s">
        <v>558</v>
      </c>
      <c r="B845" t="s">
        <v>573</v>
      </c>
      <c r="D845" t="s">
        <v>588</v>
      </c>
      <c r="E845" t="s">
        <v>591</v>
      </c>
      <c r="F845">
        <v>3514</v>
      </c>
      <c r="G845" t="s">
        <v>595</v>
      </c>
      <c r="J845" t="s">
        <v>613</v>
      </c>
      <c r="K845">
        <f t="shared" si="13"/>
        <v>-3514</v>
      </c>
    </row>
    <row r="846" spans="1:11" x14ac:dyDescent="0.45">
      <c r="A846" t="s">
        <v>517</v>
      </c>
      <c r="B846" t="s">
        <v>573</v>
      </c>
      <c r="E846" t="s">
        <v>592</v>
      </c>
      <c r="F846">
        <v>57947</v>
      </c>
      <c r="G846" t="s">
        <v>596</v>
      </c>
      <c r="H846" t="s">
        <v>602</v>
      </c>
      <c r="I846">
        <v>9.7200000000000006</v>
      </c>
      <c r="J846" t="s">
        <v>612</v>
      </c>
      <c r="K846">
        <f t="shared" si="13"/>
        <v>-57947</v>
      </c>
    </row>
    <row r="847" spans="1:11" x14ac:dyDescent="0.45">
      <c r="A847" t="s">
        <v>108</v>
      </c>
      <c r="B847" t="s">
        <v>573</v>
      </c>
      <c r="E847" t="s">
        <v>592</v>
      </c>
      <c r="F847">
        <v>16012</v>
      </c>
      <c r="G847" t="s">
        <v>593</v>
      </c>
      <c r="H847" t="s">
        <v>603</v>
      </c>
      <c r="I847">
        <v>18.45</v>
      </c>
      <c r="J847" t="s">
        <v>609</v>
      </c>
      <c r="K847">
        <f t="shared" si="13"/>
        <v>-16012</v>
      </c>
    </row>
    <row r="848" spans="1:11" x14ac:dyDescent="0.45">
      <c r="A848" t="s">
        <v>452</v>
      </c>
      <c r="B848" t="s">
        <v>573</v>
      </c>
      <c r="E848" t="s">
        <v>592</v>
      </c>
      <c r="F848">
        <v>24355</v>
      </c>
      <c r="G848" t="s">
        <v>598</v>
      </c>
      <c r="H848" t="s">
        <v>601</v>
      </c>
      <c r="I848">
        <v>26.58</v>
      </c>
      <c r="J848" t="s">
        <v>609</v>
      </c>
      <c r="K848">
        <f t="shared" si="13"/>
        <v>-24355</v>
      </c>
    </row>
    <row r="849" spans="1:11" x14ac:dyDescent="0.45">
      <c r="A849" t="s">
        <v>202</v>
      </c>
      <c r="B849" t="s">
        <v>573</v>
      </c>
      <c r="E849" t="s">
        <v>592</v>
      </c>
      <c r="F849">
        <v>36054</v>
      </c>
      <c r="G849" t="s">
        <v>596</v>
      </c>
      <c r="H849" t="s">
        <v>603</v>
      </c>
      <c r="I849">
        <v>-13.76</v>
      </c>
      <c r="J849" t="s">
        <v>609</v>
      </c>
      <c r="K849">
        <f t="shared" si="13"/>
        <v>-36054</v>
      </c>
    </row>
    <row r="850" spans="1:11" x14ac:dyDescent="0.45">
      <c r="A850" t="s">
        <v>202</v>
      </c>
      <c r="B850" t="s">
        <v>573</v>
      </c>
      <c r="C850" t="s">
        <v>578</v>
      </c>
      <c r="E850" t="s">
        <v>590</v>
      </c>
      <c r="F850">
        <v>152139</v>
      </c>
      <c r="G850" t="s">
        <v>593</v>
      </c>
      <c r="J850" t="s">
        <v>611</v>
      </c>
      <c r="K850">
        <f t="shared" si="13"/>
        <v>152139</v>
      </c>
    </row>
    <row r="851" spans="1:11" x14ac:dyDescent="0.45">
      <c r="A851" t="s">
        <v>202</v>
      </c>
      <c r="B851" t="s">
        <v>573</v>
      </c>
      <c r="E851" t="s">
        <v>592</v>
      </c>
      <c r="F851">
        <v>74721</v>
      </c>
      <c r="G851" t="s">
        <v>596</v>
      </c>
      <c r="H851" t="s">
        <v>604</v>
      </c>
      <c r="I851">
        <v>2.11</v>
      </c>
      <c r="J851" t="s">
        <v>609</v>
      </c>
      <c r="K851">
        <f t="shared" si="13"/>
        <v>-74721</v>
      </c>
    </row>
    <row r="852" spans="1:11" x14ac:dyDescent="0.45">
      <c r="A852" t="s">
        <v>168</v>
      </c>
      <c r="B852" t="s">
        <v>573</v>
      </c>
      <c r="E852" t="s">
        <v>592</v>
      </c>
      <c r="F852">
        <v>189079</v>
      </c>
      <c r="G852" t="s">
        <v>597</v>
      </c>
      <c r="H852" t="s">
        <v>600</v>
      </c>
      <c r="I852">
        <v>-4.6399999999999997</v>
      </c>
      <c r="J852" t="s">
        <v>612</v>
      </c>
      <c r="K852">
        <f t="shared" si="13"/>
        <v>-189079</v>
      </c>
    </row>
    <row r="853" spans="1:11" x14ac:dyDescent="0.45">
      <c r="A853" t="s">
        <v>168</v>
      </c>
      <c r="B853" t="s">
        <v>573</v>
      </c>
      <c r="D853" t="s">
        <v>586</v>
      </c>
      <c r="E853" t="s">
        <v>591</v>
      </c>
      <c r="F853">
        <v>9642</v>
      </c>
      <c r="G853" t="s">
        <v>597</v>
      </c>
      <c r="J853" t="s">
        <v>609</v>
      </c>
      <c r="K853">
        <f t="shared" si="13"/>
        <v>-9642</v>
      </c>
    </row>
    <row r="854" spans="1:11" x14ac:dyDescent="0.45">
      <c r="A854" t="s">
        <v>60</v>
      </c>
      <c r="B854" t="s">
        <v>573</v>
      </c>
      <c r="E854" t="s">
        <v>592</v>
      </c>
      <c r="F854">
        <v>70329</v>
      </c>
      <c r="G854" t="s">
        <v>597</v>
      </c>
      <c r="H854" t="s">
        <v>603</v>
      </c>
      <c r="I854">
        <v>-14.66</v>
      </c>
      <c r="J854" t="s">
        <v>609</v>
      </c>
      <c r="K854">
        <f t="shared" si="13"/>
        <v>-70329</v>
      </c>
    </row>
    <row r="855" spans="1:11" x14ac:dyDescent="0.45">
      <c r="A855" t="s">
        <v>60</v>
      </c>
      <c r="B855" t="s">
        <v>573</v>
      </c>
      <c r="E855" t="s">
        <v>592</v>
      </c>
      <c r="F855">
        <v>96342</v>
      </c>
      <c r="G855" t="s">
        <v>593</v>
      </c>
      <c r="H855" t="s">
        <v>603</v>
      </c>
      <c r="I855">
        <v>-12.32</v>
      </c>
      <c r="J855" t="s">
        <v>607</v>
      </c>
      <c r="K855">
        <f t="shared" si="13"/>
        <v>-96342</v>
      </c>
    </row>
    <row r="856" spans="1:11" x14ac:dyDescent="0.45">
      <c r="A856" t="s">
        <v>60</v>
      </c>
      <c r="B856" t="s">
        <v>573</v>
      </c>
      <c r="D856" t="s">
        <v>584</v>
      </c>
      <c r="E856" t="s">
        <v>591</v>
      </c>
      <c r="F856">
        <v>5656</v>
      </c>
      <c r="G856" t="s">
        <v>598</v>
      </c>
      <c r="J856" t="s">
        <v>612</v>
      </c>
      <c r="K856">
        <f t="shared" si="13"/>
        <v>-5656</v>
      </c>
    </row>
    <row r="857" spans="1:11" x14ac:dyDescent="0.45">
      <c r="A857" t="s">
        <v>60</v>
      </c>
      <c r="B857" t="s">
        <v>573</v>
      </c>
      <c r="C857" t="s">
        <v>575</v>
      </c>
      <c r="E857" t="s">
        <v>590</v>
      </c>
      <c r="F857">
        <v>119190</v>
      </c>
      <c r="G857" t="s">
        <v>593</v>
      </c>
      <c r="J857" t="s">
        <v>614</v>
      </c>
      <c r="K857">
        <f t="shared" si="13"/>
        <v>119190</v>
      </c>
    </row>
    <row r="858" spans="1:11" x14ac:dyDescent="0.45">
      <c r="A858" t="s">
        <v>60</v>
      </c>
      <c r="B858" t="s">
        <v>573</v>
      </c>
      <c r="D858" t="s">
        <v>586</v>
      </c>
      <c r="E858" t="s">
        <v>591</v>
      </c>
      <c r="F858">
        <v>20041</v>
      </c>
      <c r="G858" t="s">
        <v>593</v>
      </c>
      <c r="J858" t="s">
        <v>605</v>
      </c>
      <c r="K858">
        <f t="shared" si="13"/>
        <v>-20041</v>
      </c>
    </row>
    <row r="859" spans="1:11" x14ac:dyDescent="0.45">
      <c r="A859" t="s">
        <v>500</v>
      </c>
      <c r="B859" t="s">
        <v>573</v>
      </c>
      <c r="D859" t="s">
        <v>585</v>
      </c>
      <c r="E859" t="s">
        <v>591</v>
      </c>
      <c r="F859">
        <v>7610</v>
      </c>
      <c r="G859" t="s">
        <v>593</v>
      </c>
      <c r="J859" t="s">
        <v>612</v>
      </c>
      <c r="K859">
        <f t="shared" si="13"/>
        <v>-7610</v>
      </c>
    </row>
    <row r="860" spans="1:11" x14ac:dyDescent="0.45">
      <c r="A860" t="s">
        <v>500</v>
      </c>
      <c r="B860" t="s">
        <v>573</v>
      </c>
      <c r="C860" t="s">
        <v>577</v>
      </c>
      <c r="E860" t="s">
        <v>590</v>
      </c>
      <c r="F860">
        <v>156944</v>
      </c>
      <c r="G860" t="s">
        <v>594</v>
      </c>
      <c r="J860" t="s">
        <v>613</v>
      </c>
      <c r="K860">
        <f t="shared" si="13"/>
        <v>156944</v>
      </c>
    </row>
    <row r="861" spans="1:11" x14ac:dyDescent="0.45">
      <c r="A861" t="s">
        <v>273</v>
      </c>
      <c r="B861" t="s">
        <v>573</v>
      </c>
      <c r="D861" t="s">
        <v>585</v>
      </c>
      <c r="E861" t="s">
        <v>591</v>
      </c>
      <c r="F861">
        <v>9996</v>
      </c>
      <c r="G861" t="s">
        <v>597</v>
      </c>
      <c r="J861" t="s">
        <v>612</v>
      </c>
      <c r="K861">
        <f t="shared" si="13"/>
        <v>-9996</v>
      </c>
    </row>
    <row r="862" spans="1:11" x14ac:dyDescent="0.45">
      <c r="A862" t="s">
        <v>273</v>
      </c>
      <c r="B862" t="s">
        <v>573</v>
      </c>
      <c r="D862" t="s">
        <v>585</v>
      </c>
      <c r="E862" t="s">
        <v>591</v>
      </c>
      <c r="F862">
        <v>5431</v>
      </c>
      <c r="G862" t="s">
        <v>594</v>
      </c>
      <c r="J862" t="s">
        <v>605</v>
      </c>
      <c r="K862">
        <f t="shared" si="13"/>
        <v>-5431</v>
      </c>
    </row>
    <row r="863" spans="1:11" x14ac:dyDescent="0.45">
      <c r="A863" t="s">
        <v>82</v>
      </c>
      <c r="B863" t="s">
        <v>573</v>
      </c>
      <c r="D863" t="s">
        <v>583</v>
      </c>
      <c r="E863" t="s">
        <v>591</v>
      </c>
      <c r="F863">
        <v>18254</v>
      </c>
      <c r="G863" t="s">
        <v>594</v>
      </c>
      <c r="J863" t="s">
        <v>609</v>
      </c>
      <c r="K863">
        <f t="shared" si="13"/>
        <v>-18254</v>
      </c>
    </row>
    <row r="864" spans="1:11" x14ac:dyDescent="0.45">
      <c r="A864" t="s">
        <v>496</v>
      </c>
      <c r="B864" t="s">
        <v>573</v>
      </c>
      <c r="E864" t="s">
        <v>592</v>
      </c>
      <c r="F864">
        <v>33047</v>
      </c>
      <c r="G864" t="s">
        <v>597</v>
      </c>
      <c r="H864" t="s">
        <v>604</v>
      </c>
      <c r="I864">
        <v>-7.2</v>
      </c>
      <c r="J864" t="s">
        <v>606</v>
      </c>
      <c r="K864">
        <f t="shared" si="13"/>
        <v>-33047</v>
      </c>
    </row>
    <row r="865" spans="1:11" x14ac:dyDescent="0.45">
      <c r="A865" t="s">
        <v>496</v>
      </c>
      <c r="B865" t="s">
        <v>573</v>
      </c>
      <c r="C865" t="s">
        <v>581</v>
      </c>
      <c r="E865" t="s">
        <v>590</v>
      </c>
      <c r="F865">
        <v>33451</v>
      </c>
      <c r="G865" t="s">
        <v>596</v>
      </c>
      <c r="J865" t="s">
        <v>610</v>
      </c>
      <c r="K865">
        <f t="shared" si="13"/>
        <v>33451</v>
      </c>
    </row>
    <row r="866" spans="1:11" x14ac:dyDescent="0.45">
      <c r="A866" t="s">
        <v>207</v>
      </c>
      <c r="B866" t="s">
        <v>573</v>
      </c>
      <c r="C866" t="s">
        <v>581</v>
      </c>
      <c r="E866" t="s">
        <v>590</v>
      </c>
      <c r="F866">
        <v>86330</v>
      </c>
      <c r="G866" t="s">
        <v>595</v>
      </c>
      <c r="J866" t="s">
        <v>614</v>
      </c>
      <c r="K866">
        <f t="shared" si="13"/>
        <v>86330</v>
      </c>
    </row>
    <row r="867" spans="1:11" x14ac:dyDescent="0.45">
      <c r="A867" t="s">
        <v>486</v>
      </c>
      <c r="B867" t="s">
        <v>573</v>
      </c>
      <c r="D867" t="s">
        <v>587</v>
      </c>
      <c r="E867" t="s">
        <v>591</v>
      </c>
      <c r="F867">
        <v>619</v>
      </c>
      <c r="G867" t="s">
        <v>598</v>
      </c>
      <c r="J867" t="s">
        <v>611</v>
      </c>
      <c r="K867">
        <f t="shared" si="13"/>
        <v>-619</v>
      </c>
    </row>
    <row r="868" spans="1:11" x14ac:dyDescent="0.45">
      <c r="A868" t="s">
        <v>498</v>
      </c>
      <c r="B868" t="s">
        <v>573</v>
      </c>
      <c r="C868" t="s">
        <v>580</v>
      </c>
      <c r="E868" t="s">
        <v>590</v>
      </c>
      <c r="F868">
        <v>98305</v>
      </c>
      <c r="G868" t="s">
        <v>595</v>
      </c>
      <c r="J868" t="s">
        <v>613</v>
      </c>
      <c r="K868">
        <f t="shared" si="13"/>
        <v>98305</v>
      </c>
    </row>
    <row r="869" spans="1:11" x14ac:dyDescent="0.45">
      <c r="A869" t="s">
        <v>70</v>
      </c>
      <c r="B869" t="s">
        <v>573</v>
      </c>
      <c r="D869" t="s">
        <v>586</v>
      </c>
      <c r="E869" t="s">
        <v>591</v>
      </c>
      <c r="F869">
        <v>5824</v>
      </c>
      <c r="G869" t="s">
        <v>593</v>
      </c>
      <c r="J869" t="s">
        <v>614</v>
      </c>
      <c r="K869">
        <f t="shared" si="13"/>
        <v>-5824</v>
      </c>
    </row>
    <row r="870" spans="1:11" x14ac:dyDescent="0.45">
      <c r="A870" t="s">
        <v>70</v>
      </c>
      <c r="B870" t="s">
        <v>573</v>
      </c>
      <c r="C870" t="s">
        <v>575</v>
      </c>
      <c r="E870" t="s">
        <v>590</v>
      </c>
      <c r="F870">
        <v>41013</v>
      </c>
      <c r="G870" t="s">
        <v>593</v>
      </c>
      <c r="J870" t="s">
        <v>605</v>
      </c>
      <c r="K870">
        <f t="shared" si="13"/>
        <v>41013</v>
      </c>
    </row>
    <row r="871" spans="1:11" x14ac:dyDescent="0.45">
      <c r="A871" t="s">
        <v>70</v>
      </c>
      <c r="B871" t="s">
        <v>573</v>
      </c>
      <c r="D871" t="s">
        <v>588</v>
      </c>
      <c r="E871" t="s">
        <v>591</v>
      </c>
      <c r="F871">
        <v>7712</v>
      </c>
      <c r="G871" t="s">
        <v>596</v>
      </c>
      <c r="J871" t="s">
        <v>614</v>
      </c>
      <c r="K871">
        <f t="shared" si="13"/>
        <v>-7712</v>
      </c>
    </row>
    <row r="872" spans="1:11" x14ac:dyDescent="0.45">
      <c r="A872" t="s">
        <v>107</v>
      </c>
      <c r="B872" t="s">
        <v>573</v>
      </c>
      <c r="C872" t="s">
        <v>580</v>
      </c>
      <c r="E872" t="s">
        <v>590</v>
      </c>
      <c r="F872">
        <v>139141</v>
      </c>
      <c r="G872" t="s">
        <v>598</v>
      </c>
      <c r="J872" t="s">
        <v>610</v>
      </c>
      <c r="K872">
        <f t="shared" si="13"/>
        <v>139141</v>
      </c>
    </row>
    <row r="873" spans="1:11" x14ac:dyDescent="0.45">
      <c r="A873" t="s">
        <v>162</v>
      </c>
      <c r="B873" t="s">
        <v>573</v>
      </c>
      <c r="D873" t="s">
        <v>582</v>
      </c>
      <c r="E873" t="s">
        <v>591</v>
      </c>
      <c r="F873">
        <v>29532</v>
      </c>
      <c r="G873" t="s">
        <v>598</v>
      </c>
      <c r="J873" t="s">
        <v>607</v>
      </c>
      <c r="K873">
        <f t="shared" si="13"/>
        <v>-29532</v>
      </c>
    </row>
    <row r="874" spans="1:11" x14ac:dyDescent="0.45">
      <c r="A874" t="s">
        <v>193</v>
      </c>
      <c r="B874" t="s">
        <v>563</v>
      </c>
      <c r="D874" t="s">
        <v>588</v>
      </c>
      <c r="E874" t="s">
        <v>591</v>
      </c>
      <c r="F874">
        <v>6740</v>
      </c>
      <c r="G874" t="s">
        <v>597</v>
      </c>
      <c r="J874" t="s">
        <v>607</v>
      </c>
      <c r="K874">
        <f t="shared" si="13"/>
        <v>-6740</v>
      </c>
    </row>
    <row r="875" spans="1:11" x14ac:dyDescent="0.45">
      <c r="A875" t="s">
        <v>382</v>
      </c>
      <c r="B875" t="s">
        <v>563</v>
      </c>
      <c r="D875" t="s">
        <v>586</v>
      </c>
      <c r="E875" t="s">
        <v>591</v>
      </c>
      <c r="F875">
        <v>14565</v>
      </c>
      <c r="G875" t="s">
        <v>598</v>
      </c>
      <c r="J875" t="s">
        <v>610</v>
      </c>
      <c r="K875">
        <f t="shared" si="13"/>
        <v>-14565</v>
      </c>
    </row>
    <row r="876" spans="1:11" x14ac:dyDescent="0.45">
      <c r="A876" t="s">
        <v>95</v>
      </c>
      <c r="B876" t="s">
        <v>563</v>
      </c>
      <c r="C876" t="s">
        <v>579</v>
      </c>
      <c r="E876" t="s">
        <v>590</v>
      </c>
      <c r="F876">
        <v>35311</v>
      </c>
      <c r="G876" t="s">
        <v>598</v>
      </c>
      <c r="J876" t="s">
        <v>609</v>
      </c>
      <c r="K876">
        <f t="shared" si="13"/>
        <v>35311</v>
      </c>
    </row>
    <row r="877" spans="1:11" x14ac:dyDescent="0.45">
      <c r="A877" t="s">
        <v>174</v>
      </c>
      <c r="B877" t="s">
        <v>563</v>
      </c>
      <c r="D877" t="s">
        <v>584</v>
      </c>
      <c r="E877" t="s">
        <v>591</v>
      </c>
      <c r="F877">
        <v>6660</v>
      </c>
      <c r="G877" t="s">
        <v>595</v>
      </c>
      <c r="J877" t="s">
        <v>606</v>
      </c>
      <c r="K877">
        <f t="shared" si="13"/>
        <v>-6660</v>
      </c>
    </row>
    <row r="878" spans="1:11" x14ac:dyDescent="0.45">
      <c r="A878" t="s">
        <v>228</v>
      </c>
      <c r="B878" t="s">
        <v>563</v>
      </c>
      <c r="D878" t="s">
        <v>582</v>
      </c>
      <c r="E878" t="s">
        <v>591</v>
      </c>
      <c r="F878">
        <v>29606</v>
      </c>
      <c r="G878" t="s">
        <v>594</v>
      </c>
      <c r="J878" t="s">
        <v>607</v>
      </c>
      <c r="K878">
        <f t="shared" si="13"/>
        <v>-29606</v>
      </c>
    </row>
    <row r="879" spans="1:11" x14ac:dyDescent="0.45">
      <c r="A879" t="s">
        <v>228</v>
      </c>
      <c r="B879" t="s">
        <v>563</v>
      </c>
      <c r="C879" t="s">
        <v>580</v>
      </c>
      <c r="E879" t="s">
        <v>590</v>
      </c>
      <c r="F879">
        <v>31541</v>
      </c>
      <c r="G879" t="s">
        <v>598</v>
      </c>
      <c r="J879" t="s">
        <v>613</v>
      </c>
      <c r="K879">
        <f t="shared" si="13"/>
        <v>31541</v>
      </c>
    </row>
    <row r="880" spans="1:11" x14ac:dyDescent="0.45">
      <c r="A880" t="s">
        <v>374</v>
      </c>
      <c r="B880" t="s">
        <v>563</v>
      </c>
      <c r="D880" t="s">
        <v>585</v>
      </c>
      <c r="E880" t="s">
        <v>591</v>
      </c>
      <c r="F880">
        <v>3685</v>
      </c>
      <c r="G880" t="s">
        <v>593</v>
      </c>
      <c r="J880" t="s">
        <v>606</v>
      </c>
      <c r="K880">
        <f t="shared" si="13"/>
        <v>-3685</v>
      </c>
    </row>
    <row r="881" spans="1:11" x14ac:dyDescent="0.45">
      <c r="A881" t="s">
        <v>462</v>
      </c>
      <c r="B881" t="s">
        <v>563</v>
      </c>
      <c r="D881" t="s">
        <v>583</v>
      </c>
      <c r="E881" t="s">
        <v>591</v>
      </c>
      <c r="F881">
        <v>15943</v>
      </c>
      <c r="G881" t="s">
        <v>595</v>
      </c>
      <c r="J881" t="s">
        <v>606</v>
      </c>
      <c r="K881">
        <f t="shared" si="13"/>
        <v>-15943</v>
      </c>
    </row>
    <row r="882" spans="1:11" x14ac:dyDescent="0.45">
      <c r="A882" t="s">
        <v>143</v>
      </c>
      <c r="B882" t="s">
        <v>563</v>
      </c>
      <c r="E882" t="s">
        <v>592</v>
      </c>
      <c r="F882">
        <v>32802</v>
      </c>
      <c r="G882" t="s">
        <v>596</v>
      </c>
      <c r="H882" t="s">
        <v>599</v>
      </c>
      <c r="I882">
        <v>-0.04</v>
      </c>
      <c r="J882" t="s">
        <v>611</v>
      </c>
      <c r="K882">
        <f t="shared" si="13"/>
        <v>-32802</v>
      </c>
    </row>
    <row r="883" spans="1:11" x14ac:dyDescent="0.45">
      <c r="A883" t="s">
        <v>143</v>
      </c>
      <c r="B883" t="s">
        <v>563</v>
      </c>
      <c r="D883" t="s">
        <v>588</v>
      </c>
      <c r="E883" t="s">
        <v>591</v>
      </c>
      <c r="F883">
        <v>4655</v>
      </c>
      <c r="G883" t="s">
        <v>598</v>
      </c>
      <c r="J883" t="s">
        <v>606</v>
      </c>
      <c r="K883">
        <f t="shared" si="13"/>
        <v>-4655</v>
      </c>
    </row>
    <row r="884" spans="1:11" x14ac:dyDescent="0.45">
      <c r="A884" t="s">
        <v>143</v>
      </c>
      <c r="B884" t="s">
        <v>563</v>
      </c>
      <c r="D884" t="s">
        <v>585</v>
      </c>
      <c r="E884" t="s">
        <v>591</v>
      </c>
      <c r="F884">
        <v>9391</v>
      </c>
      <c r="G884" t="s">
        <v>593</v>
      </c>
      <c r="J884" t="s">
        <v>613</v>
      </c>
      <c r="K884">
        <f t="shared" si="13"/>
        <v>-9391</v>
      </c>
    </row>
    <row r="885" spans="1:11" x14ac:dyDescent="0.45">
      <c r="A885" t="s">
        <v>173</v>
      </c>
      <c r="B885" t="s">
        <v>563</v>
      </c>
      <c r="C885" t="s">
        <v>578</v>
      </c>
      <c r="E885" t="s">
        <v>590</v>
      </c>
      <c r="F885">
        <v>50855</v>
      </c>
      <c r="G885" t="s">
        <v>598</v>
      </c>
      <c r="J885" t="s">
        <v>610</v>
      </c>
      <c r="K885">
        <f t="shared" si="13"/>
        <v>50855</v>
      </c>
    </row>
    <row r="886" spans="1:11" x14ac:dyDescent="0.45">
      <c r="A886" t="s">
        <v>339</v>
      </c>
      <c r="B886" t="s">
        <v>563</v>
      </c>
      <c r="C886" t="s">
        <v>580</v>
      </c>
      <c r="E886" t="s">
        <v>590</v>
      </c>
      <c r="F886">
        <v>36675</v>
      </c>
      <c r="G886" t="s">
        <v>595</v>
      </c>
      <c r="J886" t="s">
        <v>614</v>
      </c>
      <c r="K886">
        <f t="shared" si="13"/>
        <v>36675</v>
      </c>
    </row>
    <row r="887" spans="1:11" x14ac:dyDescent="0.45">
      <c r="A887" t="s">
        <v>10</v>
      </c>
      <c r="B887" t="s">
        <v>563</v>
      </c>
      <c r="C887" t="s">
        <v>575</v>
      </c>
      <c r="E887" t="s">
        <v>590</v>
      </c>
      <c r="F887">
        <v>87097</v>
      </c>
      <c r="G887" t="s">
        <v>593</v>
      </c>
      <c r="J887" t="s">
        <v>605</v>
      </c>
      <c r="K887">
        <f t="shared" si="13"/>
        <v>87097</v>
      </c>
    </row>
    <row r="888" spans="1:11" x14ac:dyDescent="0.45">
      <c r="A888" t="s">
        <v>10</v>
      </c>
      <c r="B888" t="s">
        <v>563</v>
      </c>
      <c r="E888" t="s">
        <v>592</v>
      </c>
      <c r="F888">
        <v>42586</v>
      </c>
      <c r="G888" t="s">
        <v>597</v>
      </c>
      <c r="H888" t="s">
        <v>603</v>
      </c>
      <c r="I888">
        <v>-7.51</v>
      </c>
      <c r="J888" t="s">
        <v>608</v>
      </c>
      <c r="K888">
        <f t="shared" si="13"/>
        <v>-42586</v>
      </c>
    </row>
    <row r="889" spans="1:11" x14ac:dyDescent="0.45">
      <c r="A889" t="s">
        <v>10</v>
      </c>
      <c r="B889" t="s">
        <v>563</v>
      </c>
      <c r="C889" t="s">
        <v>576</v>
      </c>
      <c r="E889" t="s">
        <v>590</v>
      </c>
      <c r="F889">
        <v>124039</v>
      </c>
      <c r="G889" t="s">
        <v>596</v>
      </c>
      <c r="J889" t="s">
        <v>606</v>
      </c>
      <c r="K889">
        <f t="shared" si="13"/>
        <v>124039</v>
      </c>
    </row>
    <row r="890" spans="1:11" x14ac:dyDescent="0.45">
      <c r="A890" t="s">
        <v>22</v>
      </c>
      <c r="B890" t="s">
        <v>563</v>
      </c>
      <c r="D890" t="s">
        <v>586</v>
      </c>
      <c r="E890" t="s">
        <v>591</v>
      </c>
      <c r="F890">
        <v>22933</v>
      </c>
      <c r="G890" t="s">
        <v>596</v>
      </c>
      <c r="J890" t="s">
        <v>606</v>
      </c>
      <c r="K890">
        <f t="shared" si="13"/>
        <v>-22933</v>
      </c>
    </row>
    <row r="891" spans="1:11" x14ac:dyDescent="0.45">
      <c r="A891" t="s">
        <v>22</v>
      </c>
      <c r="B891" t="s">
        <v>563</v>
      </c>
      <c r="D891" t="s">
        <v>584</v>
      </c>
      <c r="E891" t="s">
        <v>591</v>
      </c>
      <c r="F891">
        <v>2339</v>
      </c>
      <c r="G891" t="s">
        <v>598</v>
      </c>
      <c r="J891" t="s">
        <v>609</v>
      </c>
      <c r="K891">
        <f t="shared" si="13"/>
        <v>-2339</v>
      </c>
    </row>
    <row r="892" spans="1:11" x14ac:dyDescent="0.45">
      <c r="A892" t="s">
        <v>22</v>
      </c>
      <c r="B892" t="s">
        <v>563</v>
      </c>
      <c r="E892" t="s">
        <v>592</v>
      </c>
      <c r="F892">
        <v>14822</v>
      </c>
      <c r="G892" t="s">
        <v>597</v>
      </c>
      <c r="H892" t="s">
        <v>601</v>
      </c>
      <c r="I892">
        <v>12.14</v>
      </c>
      <c r="J892" t="s">
        <v>614</v>
      </c>
      <c r="K892">
        <f t="shared" si="13"/>
        <v>-14822</v>
      </c>
    </row>
    <row r="893" spans="1:11" x14ac:dyDescent="0.45">
      <c r="A893" t="s">
        <v>387</v>
      </c>
      <c r="B893" t="s">
        <v>563</v>
      </c>
      <c r="E893" t="s">
        <v>592</v>
      </c>
      <c r="F893">
        <v>20933</v>
      </c>
      <c r="G893" t="s">
        <v>594</v>
      </c>
      <c r="H893" t="s">
        <v>604</v>
      </c>
      <c r="I893">
        <v>7.81</v>
      </c>
      <c r="J893" t="s">
        <v>608</v>
      </c>
      <c r="K893">
        <f t="shared" si="13"/>
        <v>-20933</v>
      </c>
    </row>
    <row r="894" spans="1:11" x14ac:dyDescent="0.45">
      <c r="A894" t="s">
        <v>547</v>
      </c>
      <c r="B894" t="s">
        <v>563</v>
      </c>
      <c r="D894" t="s">
        <v>583</v>
      </c>
      <c r="E894" t="s">
        <v>591</v>
      </c>
      <c r="F894">
        <v>2871</v>
      </c>
      <c r="G894" t="s">
        <v>594</v>
      </c>
      <c r="J894" t="s">
        <v>611</v>
      </c>
      <c r="K894">
        <f t="shared" si="13"/>
        <v>-2871</v>
      </c>
    </row>
    <row r="895" spans="1:11" x14ac:dyDescent="0.45">
      <c r="A895" t="s">
        <v>232</v>
      </c>
      <c r="B895" t="s">
        <v>563</v>
      </c>
      <c r="D895" t="s">
        <v>585</v>
      </c>
      <c r="E895" t="s">
        <v>591</v>
      </c>
      <c r="F895">
        <v>11279</v>
      </c>
      <c r="G895" t="s">
        <v>598</v>
      </c>
      <c r="J895" t="s">
        <v>607</v>
      </c>
      <c r="K895">
        <f t="shared" si="13"/>
        <v>-11279</v>
      </c>
    </row>
    <row r="896" spans="1:11" x14ac:dyDescent="0.45">
      <c r="A896" t="s">
        <v>259</v>
      </c>
      <c r="B896" t="s">
        <v>563</v>
      </c>
      <c r="D896" t="s">
        <v>583</v>
      </c>
      <c r="E896" t="s">
        <v>591</v>
      </c>
      <c r="F896">
        <v>18887</v>
      </c>
      <c r="G896" t="s">
        <v>594</v>
      </c>
      <c r="J896" t="s">
        <v>608</v>
      </c>
      <c r="K896">
        <f t="shared" si="13"/>
        <v>-18887</v>
      </c>
    </row>
    <row r="897" spans="1:11" x14ac:dyDescent="0.45">
      <c r="A897" t="s">
        <v>259</v>
      </c>
      <c r="B897" t="s">
        <v>563</v>
      </c>
      <c r="D897" t="s">
        <v>582</v>
      </c>
      <c r="E897" t="s">
        <v>591</v>
      </c>
      <c r="F897">
        <v>42613</v>
      </c>
      <c r="G897" t="s">
        <v>594</v>
      </c>
      <c r="J897" t="s">
        <v>605</v>
      </c>
      <c r="K897">
        <f t="shared" si="13"/>
        <v>-42613</v>
      </c>
    </row>
    <row r="898" spans="1:11" x14ac:dyDescent="0.45">
      <c r="A898" t="s">
        <v>120</v>
      </c>
      <c r="B898" t="s">
        <v>563</v>
      </c>
      <c r="D898" t="s">
        <v>589</v>
      </c>
      <c r="E898" t="s">
        <v>591</v>
      </c>
      <c r="F898">
        <v>52965</v>
      </c>
      <c r="G898" t="s">
        <v>594</v>
      </c>
      <c r="J898" t="s">
        <v>610</v>
      </c>
      <c r="K898">
        <f t="shared" ref="K898:K961" si="14">IF(E898= "Income", F898, -F898)</f>
        <v>-52965</v>
      </c>
    </row>
    <row r="899" spans="1:11" x14ac:dyDescent="0.45">
      <c r="A899" t="s">
        <v>120</v>
      </c>
      <c r="B899" t="s">
        <v>563</v>
      </c>
      <c r="D899" t="s">
        <v>584</v>
      </c>
      <c r="E899" t="s">
        <v>591</v>
      </c>
      <c r="F899">
        <v>6970</v>
      </c>
      <c r="G899" t="s">
        <v>593</v>
      </c>
      <c r="J899" t="s">
        <v>607</v>
      </c>
      <c r="K899">
        <f t="shared" si="14"/>
        <v>-6970</v>
      </c>
    </row>
    <row r="900" spans="1:11" x14ac:dyDescent="0.45">
      <c r="A900" t="s">
        <v>451</v>
      </c>
      <c r="B900" t="s">
        <v>563</v>
      </c>
      <c r="C900" t="s">
        <v>577</v>
      </c>
      <c r="E900" t="s">
        <v>590</v>
      </c>
      <c r="F900">
        <v>17218</v>
      </c>
      <c r="G900" t="s">
        <v>593</v>
      </c>
      <c r="J900" t="s">
        <v>609</v>
      </c>
      <c r="K900">
        <f t="shared" si="14"/>
        <v>17218</v>
      </c>
    </row>
    <row r="901" spans="1:11" x14ac:dyDescent="0.45">
      <c r="A901" t="s">
        <v>451</v>
      </c>
      <c r="B901" t="s">
        <v>563</v>
      </c>
      <c r="E901" t="s">
        <v>592</v>
      </c>
      <c r="F901">
        <v>46960</v>
      </c>
      <c r="G901" t="s">
        <v>595</v>
      </c>
      <c r="H901" t="s">
        <v>599</v>
      </c>
      <c r="I901">
        <v>-8.39</v>
      </c>
      <c r="J901" t="s">
        <v>611</v>
      </c>
      <c r="K901">
        <f t="shared" si="14"/>
        <v>-46960</v>
      </c>
    </row>
    <row r="902" spans="1:11" x14ac:dyDescent="0.45">
      <c r="A902" t="s">
        <v>363</v>
      </c>
      <c r="B902" t="s">
        <v>563</v>
      </c>
      <c r="C902" t="s">
        <v>577</v>
      </c>
      <c r="E902" t="s">
        <v>590</v>
      </c>
      <c r="F902">
        <v>58084</v>
      </c>
      <c r="G902" t="s">
        <v>598</v>
      </c>
      <c r="J902" t="s">
        <v>605</v>
      </c>
      <c r="K902">
        <f t="shared" si="14"/>
        <v>58084</v>
      </c>
    </row>
    <row r="903" spans="1:11" x14ac:dyDescent="0.45">
      <c r="A903" t="s">
        <v>181</v>
      </c>
      <c r="B903" t="s">
        <v>563</v>
      </c>
      <c r="D903" t="s">
        <v>585</v>
      </c>
      <c r="E903" t="s">
        <v>591</v>
      </c>
      <c r="F903">
        <v>1042</v>
      </c>
      <c r="G903" t="s">
        <v>594</v>
      </c>
      <c r="J903" t="s">
        <v>609</v>
      </c>
      <c r="K903">
        <f t="shared" si="14"/>
        <v>-1042</v>
      </c>
    </row>
    <row r="904" spans="1:11" x14ac:dyDescent="0.45">
      <c r="A904" t="s">
        <v>181</v>
      </c>
      <c r="B904" t="s">
        <v>563</v>
      </c>
      <c r="D904" t="s">
        <v>584</v>
      </c>
      <c r="E904" t="s">
        <v>591</v>
      </c>
      <c r="F904">
        <v>6277</v>
      </c>
      <c r="G904" t="s">
        <v>596</v>
      </c>
      <c r="J904" t="s">
        <v>608</v>
      </c>
      <c r="K904">
        <f t="shared" si="14"/>
        <v>-6277</v>
      </c>
    </row>
    <row r="905" spans="1:11" x14ac:dyDescent="0.45">
      <c r="A905" t="s">
        <v>181</v>
      </c>
      <c r="B905" t="s">
        <v>563</v>
      </c>
      <c r="D905" t="s">
        <v>583</v>
      </c>
      <c r="E905" t="s">
        <v>591</v>
      </c>
      <c r="F905">
        <v>16963</v>
      </c>
      <c r="G905" t="s">
        <v>598</v>
      </c>
      <c r="J905" t="s">
        <v>610</v>
      </c>
      <c r="K905">
        <f t="shared" si="14"/>
        <v>-16963</v>
      </c>
    </row>
    <row r="906" spans="1:11" x14ac:dyDescent="0.45">
      <c r="A906" t="s">
        <v>381</v>
      </c>
      <c r="B906" t="s">
        <v>563</v>
      </c>
      <c r="D906" t="s">
        <v>584</v>
      </c>
      <c r="E906" t="s">
        <v>591</v>
      </c>
      <c r="F906">
        <v>964</v>
      </c>
      <c r="G906" t="s">
        <v>598</v>
      </c>
      <c r="J906" t="s">
        <v>611</v>
      </c>
      <c r="K906">
        <f t="shared" si="14"/>
        <v>-964</v>
      </c>
    </row>
    <row r="907" spans="1:11" x14ac:dyDescent="0.45">
      <c r="A907" t="s">
        <v>381</v>
      </c>
      <c r="B907" t="s">
        <v>563</v>
      </c>
      <c r="C907" t="s">
        <v>578</v>
      </c>
      <c r="E907" t="s">
        <v>590</v>
      </c>
      <c r="F907">
        <v>70851</v>
      </c>
      <c r="G907" t="s">
        <v>598</v>
      </c>
      <c r="J907" t="s">
        <v>612</v>
      </c>
      <c r="K907">
        <f t="shared" si="14"/>
        <v>70851</v>
      </c>
    </row>
    <row r="908" spans="1:11" x14ac:dyDescent="0.45">
      <c r="A908" t="s">
        <v>302</v>
      </c>
      <c r="B908" t="s">
        <v>563</v>
      </c>
      <c r="C908" t="s">
        <v>578</v>
      </c>
      <c r="E908" t="s">
        <v>590</v>
      </c>
      <c r="F908">
        <v>99192</v>
      </c>
      <c r="G908" t="s">
        <v>596</v>
      </c>
      <c r="J908" t="s">
        <v>606</v>
      </c>
      <c r="K908">
        <f t="shared" si="14"/>
        <v>99192</v>
      </c>
    </row>
    <row r="909" spans="1:11" x14ac:dyDescent="0.45">
      <c r="A909" t="s">
        <v>302</v>
      </c>
      <c r="B909" t="s">
        <v>563</v>
      </c>
      <c r="E909" t="s">
        <v>592</v>
      </c>
      <c r="F909">
        <v>81757</v>
      </c>
      <c r="G909" t="s">
        <v>598</v>
      </c>
      <c r="H909" t="s">
        <v>604</v>
      </c>
      <c r="I909">
        <v>-1.21</v>
      </c>
      <c r="J909" t="s">
        <v>605</v>
      </c>
      <c r="K909">
        <f t="shared" si="14"/>
        <v>-81757</v>
      </c>
    </row>
    <row r="910" spans="1:11" x14ac:dyDescent="0.45">
      <c r="A910" t="s">
        <v>302</v>
      </c>
      <c r="B910" t="s">
        <v>563</v>
      </c>
      <c r="D910" t="s">
        <v>586</v>
      </c>
      <c r="E910" t="s">
        <v>591</v>
      </c>
      <c r="F910">
        <v>5829</v>
      </c>
      <c r="G910" t="s">
        <v>595</v>
      </c>
      <c r="J910" t="s">
        <v>610</v>
      </c>
      <c r="K910">
        <f t="shared" si="14"/>
        <v>-5829</v>
      </c>
    </row>
    <row r="911" spans="1:11" x14ac:dyDescent="0.45">
      <c r="A911" t="s">
        <v>106</v>
      </c>
      <c r="B911" t="s">
        <v>563</v>
      </c>
      <c r="C911" t="s">
        <v>581</v>
      </c>
      <c r="E911" t="s">
        <v>590</v>
      </c>
      <c r="F911">
        <v>79823</v>
      </c>
      <c r="G911" t="s">
        <v>593</v>
      </c>
      <c r="J911" t="s">
        <v>606</v>
      </c>
      <c r="K911">
        <f t="shared" si="14"/>
        <v>79823</v>
      </c>
    </row>
    <row r="912" spans="1:11" x14ac:dyDescent="0.45">
      <c r="A912" t="s">
        <v>106</v>
      </c>
      <c r="B912" t="s">
        <v>563</v>
      </c>
      <c r="D912" t="s">
        <v>584</v>
      </c>
      <c r="E912" t="s">
        <v>591</v>
      </c>
      <c r="F912">
        <v>1686</v>
      </c>
      <c r="G912" t="s">
        <v>597</v>
      </c>
      <c r="J912" t="s">
        <v>614</v>
      </c>
      <c r="K912">
        <f t="shared" si="14"/>
        <v>-1686</v>
      </c>
    </row>
    <row r="913" spans="1:11" x14ac:dyDescent="0.45">
      <c r="A913" t="s">
        <v>530</v>
      </c>
      <c r="B913" t="s">
        <v>563</v>
      </c>
      <c r="C913" t="s">
        <v>578</v>
      </c>
      <c r="E913" t="s">
        <v>590</v>
      </c>
      <c r="F913">
        <v>173698</v>
      </c>
      <c r="G913" t="s">
        <v>598</v>
      </c>
      <c r="J913" t="s">
        <v>614</v>
      </c>
      <c r="K913">
        <f t="shared" si="14"/>
        <v>173698</v>
      </c>
    </row>
    <row r="914" spans="1:11" x14ac:dyDescent="0.45">
      <c r="A914" t="s">
        <v>530</v>
      </c>
      <c r="B914" t="s">
        <v>563</v>
      </c>
      <c r="E914" t="s">
        <v>592</v>
      </c>
      <c r="F914">
        <v>43542</v>
      </c>
      <c r="G914" t="s">
        <v>595</v>
      </c>
      <c r="H914" t="s">
        <v>599</v>
      </c>
      <c r="I914">
        <v>18.43</v>
      </c>
      <c r="J914" t="s">
        <v>606</v>
      </c>
      <c r="K914">
        <f t="shared" si="14"/>
        <v>-43542</v>
      </c>
    </row>
    <row r="915" spans="1:11" x14ac:dyDescent="0.45">
      <c r="A915" t="s">
        <v>502</v>
      </c>
      <c r="B915" t="s">
        <v>563</v>
      </c>
      <c r="E915" t="s">
        <v>592</v>
      </c>
      <c r="F915">
        <v>35860</v>
      </c>
      <c r="G915" t="s">
        <v>593</v>
      </c>
      <c r="H915" t="s">
        <v>599</v>
      </c>
      <c r="I915">
        <v>-4.18</v>
      </c>
      <c r="J915" t="s">
        <v>607</v>
      </c>
      <c r="K915">
        <f t="shared" si="14"/>
        <v>-35860</v>
      </c>
    </row>
    <row r="916" spans="1:11" x14ac:dyDescent="0.45">
      <c r="A916" t="s">
        <v>194</v>
      </c>
      <c r="B916" t="s">
        <v>572</v>
      </c>
      <c r="D916" t="s">
        <v>586</v>
      </c>
      <c r="E916" t="s">
        <v>591</v>
      </c>
      <c r="F916">
        <v>14592</v>
      </c>
      <c r="G916" t="s">
        <v>595</v>
      </c>
      <c r="J916" t="s">
        <v>605</v>
      </c>
      <c r="K916">
        <f t="shared" si="14"/>
        <v>-14592</v>
      </c>
    </row>
    <row r="917" spans="1:11" x14ac:dyDescent="0.45">
      <c r="A917" t="s">
        <v>194</v>
      </c>
      <c r="B917" t="s">
        <v>572</v>
      </c>
      <c r="D917" t="s">
        <v>586</v>
      </c>
      <c r="E917" t="s">
        <v>591</v>
      </c>
      <c r="F917">
        <v>22449</v>
      </c>
      <c r="G917" t="s">
        <v>596</v>
      </c>
      <c r="J917" t="s">
        <v>607</v>
      </c>
      <c r="K917">
        <f t="shared" si="14"/>
        <v>-22449</v>
      </c>
    </row>
    <row r="918" spans="1:11" x14ac:dyDescent="0.45">
      <c r="A918" t="s">
        <v>194</v>
      </c>
      <c r="B918" t="s">
        <v>572</v>
      </c>
      <c r="D918" t="s">
        <v>588</v>
      </c>
      <c r="E918" t="s">
        <v>591</v>
      </c>
      <c r="F918">
        <v>6453</v>
      </c>
      <c r="G918" t="s">
        <v>594</v>
      </c>
      <c r="J918" t="s">
        <v>605</v>
      </c>
      <c r="K918">
        <f t="shared" si="14"/>
        <v>-6453</v>
      </c>
    </row>
    <row r="919" spans="1:11" x14ac:dyDescent="0.45">
      <c r="A919" t="s">
        <v>297</v>
      </c>
      <c r="B919" t="s">
        <v>572</v>
      </c>
      <c r="C919" t="s">
        <v>579</v>
      </c>
      <c r="E919" t="s">
        <v>590</v>
      </c>
      <c r="F919">
        <v>71095</v>
      </c>
      <c r="G919" t="s">
        <v>593</v>
      </c>
      <c r="J919" t="s">
        <v>607</v>
      </c>
      <c r="K919">
        <f t="shared" si="14"/>
        <v>71095</v>
      </c>
    </row>
    <row r="920" spans="1:11" x14ac:dyDescent="0.45">
      <c r="A920" t="s">
        <v>297</v>
      </c>
      <c r="B920" t="s">
        <v>572</v>
      </c>
      <c r="D920" t="s">
        <v>587</v>
      </c>
      <c r="E920" t="s">
        <v>591</v>
      </c>
      <c r="F920">
        <v>3318</v>
      </c>
      <c r="G920" t="s">
        <v>593</v>
      </c>
      <c r="J920" t="s">
        <v>613</v>
      </c>
      <c r="K920">
        <f t="shared" si="14"/>
        <v>-3318</v>
      </c>
    </row>
    <row r="921" spans="1:11" x14ac:dyDescent="0.45">
      <c r="A921" t="s">
        <v>420</v>
      </c>
      <c r="B921" t="s">
        <v>572</v>
      </c>
      <c r="C921" t="s">
        <v>576</v>
      </c>
      <c r="E921" t="s">
        <v>590</v>
      </c>
      <c r="F921">
        <v>29656</v>
      </c>
      <c r="G921" t="s">
        <v>593</v>
      </c>
      <c r="J921" t="s">
        <v>608</v>
      </c>
      <c r="K921">
        <f t="shared" si="14"/>
        <v>29656</v>
      </c>
    </row>
    <row r="922" spans="1:11" x14ac:dyDescent="0.45">
      <c r="A922" t="s">
        <v>477</v>
      </c>
      <c r="B922" t="s">
        <v>572</v>
      </c>
      <c r="D922" t="s">
        <v>588</v>
      </c>
      <c r="E922" t="s">
        <v>591</v>
      </c>
      <c r="F922">
        <v>8759</v>
      </c>
      <c r="G922" t="s">
        <v>595</v>
      </c>
      <c r="J922" t="s">
        <v>614</v>
      </c>
      <c r="K922">
        <f t="shared" si="14"/>
        <v>-8759</v>
      </c>
    </row>
    <row r="923" spans="1:11" x14ac:dyDescent="0.45">
      <c r="A923" t="s">
        <v>85</v>
      </c>
      <c r="B923" t="s">
        <v>572</v>
      </c>
      <c r="C923" t="s">
        <v>576</v>
      </c>
      <c r="E923" t="s">
        <v>590</v>
      </c>
      <c r="F923">
        <v>177335</v>
      </c>
      <c r="G923" t="s">
        <v>596</v>
      </c>
      <c r="J923" t="s">
        <v>610</v>
      </c>
      <c r="K923">
        <f t="shared" si="14"/>
        <v>177335</v>
      </c>
    </row>
    <row r="924" spans="1:11" x14ac:dyDescent="0.45">
      <c r="A924" t="s">
        <v>85</v>
      </c>
      <c r="B924" t="s">
        <v>572</v>
      </c>
      <c r="E924" t="s">
        <v>592</v>
      </c>
      <c r="F924">
        <v>138724</v>
      </c>
      <c r="G924" t="s">
        <v>593</v>
      </c>
      <c r="H924" t="s">
        <v>604</v>
      </c>
      <c r="I924">
        <v>11.1</v>
      </c>
      <c r="J924" t="s">
        <v>614</v>
      </c>
      <c r="K924">
        <f t="shared" si="14"/>
        <v>-138724</v>
      </c>
    </row>
    <row r="925" spans="1:11" x14ac:dyDescent="0.45">
      <c r="A925" t="s">
        <v>85</v>
      </c>
      <c r="B925" t="s">
        <v>572</v>
      </c>
      <c r="E925" t="s">
        <v>592</v>
      </c>
      <c r="F925">
        <v>29886</v>
      </c>
      <c r="G925" t="s">
        <v>595</v>
      </c>
      <c r="H925" t="s">
        <v>602</v>
      </c>
      <c r="I925">
        <v>7.54</v>
      </c>
      <c r="J925" t="s">
        <v>607</v>
      </c>
      <c r="K925">
        <f t="shared" si="14"/>
        <v>-29886</v>
      </c>
    </row>
    <row r="926" spans="1:11" x14ac:dyDescent="0.45">
      <c r="A926" t="s">
        <v>506</v>
      </c>
      <c r="B926" t="s">
        <v>572</v>
      </c>
      <c r="D926" t="s">
        <v>585</v>
      </c>
      <c r="E926" t="s">
        <v>591</v>
      </c>
      <c r="F926">
        <v>11532</v>
      </c>
      <c r="G926" t="s">
        <v>596</v>
      </c>
      <c r="J926" t="s">
        <v>613</v>
      </c>
      <c r="K926">
        <f t="shared" si="14"/>
        <v>-11532</v>
      </c>
    </row>
    <row r="927" spans="1:11" x14ac:dyDescent="0.45">
      <c r="A927" t="s">
        <v>506</v>
      </c>
      <c r="B927" t="s">
        <v>572</v>
      </c>
      <c r="C927" t="s">
        <v>576</v>
      </c>
      <c r="E927" t="s">
        <v>590</v>
      </c>
      <c r="F927">
        <v>156370</v>
      </c>
      <c r="G927" t="s">
        <v>594</v>
      </c>
      <c r="J927" t="s">
        <v>614</v>
      </c>
      <c r="K927">
        <f t="shared" si="14"/>
        <v>156370</v>
      </c>
    </row>
    <row r="928" spans="1:11" x14ac:dyDescent="0.45">
      <c r="A928" t="s">
        <v>321</v>
      </c>
      <c r="B928" t="s">
        <v>572</v>
      </c>
      <c r="D928" t="s">
        <v>583</v>
      </c>
      <c r="E928" t="s">
        <v>591</v>
      </c>
      <c r="F928">
        <v>10146</v>
      </c>
      <c r="G928" t="s">
        <v>596</v>
      </c>
      <c r="J928" t="s">
        <v>606</v>
      </c>
      <c r="K928">
        <f t="shared" si="14"/>
        <v>-10146</v>
      </c>
    </row>
    <row r="929" spans="1:11" x14ac:dyDescent="0.45">
      <c r="A929" t="s">
        <v>321</v>
      </c>
      <c r="B929" t="s">
        <v>572</v>
      </c>
      <c r="D929" t="s">
        <v>584</v>
      </c>
      <c r="E929" t="s">
        <v>591</v>
      </c>
      <c r="F929">
        <v>6737</v>
      </c>
      <c r="G929" t="s">
        <v>593</v>
      </c>
      <c r="J929" t="s">
        <v>610</v>
      </c>
      <c r="K929">
        <f t="shared" si="14"/>
        <v>-6737</v>
      </c>
    </row>
    <row r="930" spans="1:11" x14ac:dyDescent="0.45">
      <c r="A930" t="s">
        <v>137</v>
      </c>
      <c r="B930" t="s">
        <v>572</v>
      </c>
      <c r="E930" t="s">
        <v>592</v>
      </c>
      <c r="F930">
        <v>114447</v>
      </c>
      <c r="G930" t="s">
        <v>593</v>
      </c>
      <c r="H930" t="s">
        <v>604</v>
      </c>
      <c r="I930">
        <v>-10.06</v>
      </c>
      <c r="J930" t="s">
        <v>612</v>
      </c>
      <c r="K930">
        <f t="shared" si="14"/>
        <v>-114447</v>
      </c>
    </row>
    <row r="931" spans="1:11" x14ac:dyDescent="0.45">
      <c r="A931" t="s">
        <v>137</v>
      </c>
      <c r="B931" t="s">
        <v>572</v>
      </c>
      <c r="D931" t="s">
        <v>589</v>
      </c>
      <c r="E931" t="s">
        <v>591</v>
      </c>
      <c r="F931">
        <v>14085</v>
      </c>
      <c r="G931" t="s">
        <v>594</v>
      </c>
      <c r="J931" t="s">
        <v>606</v>
      </c>
      <c r="K931">
        <f t="shared" si="14"/>
        <v>-14085</v>
      </c>
    </row>
    <row r="932" spans="1:11" x14ac:dyDescent="0.45">
      <c r="A932" t="s">
        <v>137</v>
      </c>
      <c r="B932" t="s">
        <v>572</v>
      </c>
      <c r="C932" t="s">
        <v>577</v>
      </c>
      <c r="E932" t="s">
        <v>590</v>
      </c>
      <c r="F932">
        <v>20175</v>
      </c>
      <c r="G932" t="s">
        <v>594</v>
      </c>
      <c r="J932" t="s">
        <v>610</v>
      </c>
      <c r="K932">
        <f t="shared" si="14"/>
        <v>20175</v>
      </c>
    </row>
    <row r="933" spans="1:11" x14ac:dyDescent="0.45">
      <c r="A933" t="s">
        <v>137</v>
      </c>
      <c r="B933" t="s">
        <v>572</v>
      </c>
      <c r="C933" t="s">
        <v>576</v>
      </c>
      <c r="E933" t="s">
        <v>590</v>
      </c>
      <c r="F933">
        <v>85772</v>
      </c>
      <c r="G933" t="s">
        <v>597</v>
      </c>
      <c r="J933" t="s">
        <v>608</v>
      </c>
      <c r="K933">
        <f t="shared" si="14"/>
        <v>85772</v>
      </c>
    </row>
    <row r="934" spans="1:11" x14ac:dyDescent="0.45">
      <c r="A934" t="s">
        <v>137</v>
      </c>
      <c r="B934" t="s">
        <v>572</v>
      </c>
      <c r="C934" t="s">
        <v>575</v>
      </c>
      <c r="E934" t="s">
        <v>590</v>
      </c>
      <c r="F934">
        <v>35988</v>
      </c>
      <c r="G934" t="s">
        <v>593</v>
      </c>
      <c r="J934" t="s">
        <v>612</v>
      </c>
      <c r="K934">
        <f t="shared" si="14"/>
        <v>35988</v>
      </c>
    </row>
    <row r="935" spans="1:11" x14ac:dyDescent="0.45">
      <c r="A935" t="s">
        <v>186</v>
      </c>
      <c r="B935" t="s">
        <v>572</v>
      </c>
      <c r="C935" t="s">
        <v>575</v>
      </c>
      <c r="E935" t="s">
        <v>590</v>
      </c>
      <c r="F935">
        <v>171538</v>
      </c>
      <c r="G935" t="s">
        <v>594</v>
      </c>
      <c r="J935" t="s">
        <v>606</v>
      </c>
      <c r="K935">
        <f t="shared" si="14"/>
        <v>171538</v>
      </c>
    </row>
    <row r="936" spans="1:11" x14ac:dyDescent="0.45">
      <c r="A936" t="s">
        <v>186</v>
      </c>
      <c r="B936" t="s">
        <v>572</v>
      </c>
      <c r="E936" t="s">
        <v>592</v>
      </c>
      <c r="F936">
        <v>48214</v>
      </c>
      <c r="G936" t="s">
        <v>594</v>
      </c>
      <c r="H936" t="s">
        <v>603</v>
      </c>
      <c r="I936">
        <v>22.16</v>
      </c>
      <c r="J936" t="s">
        <v>609</v>
      </c>
      <c r="K936">
        <f t="shared" si="14"/>
        <v>-48214</v>
      </c>
    </row>
    <row r="937" spans="1:11" x14ac:dyDescent="0.45">
      <c r="A937" t="s">
        <v>61</v>
      </c>
      <c r="B937" t="s">
        <v>572</v>
      </c>
      <c r="C937" t="s">
        <v>580</v>
      </c>
      <c r="E937" t="s">
        <v>590</v>
      </c>
      <c r="F937">
        <v>84328</v>
      </c>
      <c r="G937" t="s">
        <v>594</v>
      </c>
      <c r="J937" t="s">
        <v>610</v>
      </c>
      <c r="K937">
        <f t="shared" si="14"/>
        <v>84328</v>
      </c>
    </row>
    <row r="938" spans="1:11" x14ac:dyDescent="0.45">
      <c r="A938" t="s">
        <v>80</v>
      </c>
      <c r="B938" t="s">
        <v>572</v>
      </c>
      <c r="E938" t="s">
        <v>592</v>
      </c>
      <c r="F938">
        <v>92291</v>
      </c>
      <c r="G938" t="s">
        <v>594</v>
      </c>
      <c r="H938" t="s">
        <v>600</v>
      </c>
      <c r="I938">
        <v>13.53</v>
      </c>
      <c r="J938" t="s">
        <v>609</v>
      </c>
      <c r="K938">
        <f t="shared" si="14"/>
        <v>-92291</v>
      </c>
    </row>
    <row r="939" spans="1:11" x14ac:dyDescent="0.45">
      <c r="A939" t="s">
        <v>264</v>
      </c>
      <c r="B939" t="s">
        <v>572</v>
      </c>
      <c r="D939" t="s">
        <v>582</v>
      </c>
      <c r="E939" t="s">
        <v>591</v>
      </c>
      <c r="F939">
        <v>44044</v>
      </c>
      <c r="G939" t="s">
        <v>597</v>
      </c>
      <c r="J939" t="s">
        <v>609</v>
      </c>
      <c r="K939">
        <f t="shared" si="14"/>
        <v>-44044</v>
      </c>
    </row>
    <row r="940" spans="1:11" x14ac:dyDescent="0.45">
      <c r="A940" t="s">
        <v>214</v>
      </c>
      <c r="B940" t="s">
        <v>572</v>
      </c>
      <c r="E940" t="s">
        <v>592</v>
      </c>
      <c r="F940">
        <v>28022</v>
      </c>
      <c r="G940" t="s">
        <v>594</v>
      </c>
      <c r="H940" t="s">
        <v>599</v>
      </c>
      <c r="I940">
        <v>22.06</v>
      </c>
      <c r="J940" t="s">
        <v>614</v>
      </c>
      <c r="K940">
        <f t="shared" si="14"/>
        <v>-28022</v>
      </c>
    </row>
    <row r="941" spans="1:11" x14ac:dyDescent="0.45">
      <c r="A941" t="s">
        <v>214</v>
      </c>
      <c r="B941" t="s">
        <v>572</v>
      </c>
      <c r="C941" t="s">
        <v>581</v>
      </c>
      <c r="E941" t="s">
        <v>590</v>
      </c>
      <c r="F941">
        <v>123106</v>
      </c>
      <c r="G941" t="s">
        <v>593</v>
      </c>
      <c r="J941" t="s">
        <v>605</v>
      </c>
      <c r="K941">
        <f t="shared" si="14"/>
        <v>123106</v>
      </c>
    </row>
    <row r="942" spans="1:11" x14ac:dyDescent="0.45">
      <c r="A942" t="s">
        <v>144</v>
      </c>
      <c r="B942" t="s">
        <v>572</v>
      </c>
      <c r="C942" t="s">
        <v>580</v>
      </c>
      <c r="E942" t="s">
        <v>590</v>
      </c>
      <c r="F942">
        <v>101456</v>
      </c>
      <c r="G942" t="s">
        <v>595</v>
      </c>
      <c r="J942" t="s">
        <v>613</v>
      </c>
      <c r="K942">
        <f t="shared" si="14"/>
        <v>101456</v>
      </c>
    </row>
    <row r="943" spans="1:11" x14ac:dyDescent="0.45">
      <c r="A943" t="s">
        <v>144</v>
      </c>
      <c r="B943" t="s">
        <v>572</v>
      </c>
      <c r="C943" t="s">
        <v>578</v>
      </c>
      <c r="E943" t="s">
        <v>590</v>
      </c>
      <c r="F943">
        <v>57188</v>
      </c>
      <c r="G943" t="s">
        <v>596</v>
      </c>
      <c r="J943" t="s">
        <v>609</v>
      </c>
      <c r="K943">
        <f t="shared" si="14"/>
        <v>57188</v>
      </c>
    </row>
    <row r="944" spans="1:11" x14ac:dyDescent="0.45">
      <c r="A944" t="s">
        <v>326</v>
      </c>
      <c r="B944" t="s">
        <v>572</v>
      </c>
      <c r="D944" t="s">
        <v>589</v>
      </c>
      <c r="E944" t="s">
        <v>591</v>
      </c>
      <c r="F944">
        <v>14689</v>
      </c>
      <c r="G944" t="s">
        <v>596</v>
      </c>
      <c r="J944" t="s">
        <v>609</v>
      </c>
      <c r="K944">
        <f t="shared" si="14"/>
        <v>-14689</v>
      </c>
    </row>
    <row r="945" spans="1:11" x14ac:dyDescent="0.45">
      <c r="A945" t="s">
        <v>479</v>
      </c>
      <c r="B945" t="s">
        <v>572</v>
      </c>
      <c r="C945" t="s">
        <v>575</v>
      </c>
      <c r="E945" t="s">
        <v>590</v>
      </c>
      <c r="F945">
        <v>61612</v>
      </c>
      <c r="G945" t="s">
        <v>597</v>
      </c>
      <c r="J945" t="s">
        <v>607</v>
      </c>
      <c r="K945">
        <f t="shared" si="14"/>
        <v>61612</v>
      </c>
    </row>
    <row r="946" spans="1:11" x14ac:dyDescent="0.45">
      <c r="A946" t="s">
        <v>493</v>
      </c>
      <c r="B946" t="s">
        <v>572</v>
      </c>
      <c r="C946" t="s">
        <v>581</v>
      </c>
      <c r="E946" t="s">
        <v>590</v>
      </c>
      <c r="F946">
        <v>177096</v>
      </c>
      <c r="G946" t="s">
        <v>594</v>
      </c>
      <c r="J946" t="s">
        <v>608</v>
      </c>
      <c r="K946">
        <f t="shared" si="14"/>
        <v>177096</v>
      </c>
    </row>
    <row r="947" spans="1:11" x14ac:dyDescent="0.45">
      <c r="A947" t="s">
        <v>398</v>
      </c>
      <c r="B947" t="s">
        <v>572</v>
      </c>
      <c r="D947" t="s">
        <v>586</v>
      </c>
      <c r="E947" t="s">
        <v>591</v>
      </c>
      <c r="F947">
        <v>24773</v>
      </c>
      <c r="G947" t="s">
        <v>597</v>
      </c>
      <c r="J947" t="s">
        <v>606</v>
      </c>
      <c r="K947">
        <f t="shared" si="14"/>
        <v>-24773</v>
      </c>
    </row>
    <row r="948" spans="1:11" x14ac:dyDescent="0.45">
      <c r="A948" t="s">
        <v>295</v>
      </c>
      <c r="B948" t="s">
        <v>572</v>
      </c>
      <c r="D948" t="s">
        <v>583</v>
      </c>
      <c r="E948" t="s">
        <v>591</v>
      </c>
      <c r="F948">
        <v>11609</v>
      </c>
      <c r="G948" t="s">
        <v>593</v>
      </c>
      <c r="J948" t="s">
        <v>609</v>
      </c>
      <c r="K948">
        <f t="shared" si="14"/>
        <v>-11609</v>
      </c>
    </row>
    <row r="949" spans="1:11" x14ac:dyDescent="0.45">
      <c r="A949" t="s">
        <v>343</v>
      </c>
      <c r="B949" t="s">
        <v>572</v>
      </c>
      <c r="E949" t="s">
        <v>592</v>
      </c>
      <c r="F949">
        <v>13577</v>
      </c>
      <c r="G949" t="s">
        <v>593</v>
      </c>
      <c r="H949" t="s">
        <v>601</v>
      </c>
      <c r="I949">
        <v>17.489999999999998</v>
      </c>
      <c r="J949" t="s">
        <v>610</v>
      </c>
      <c r="K949">
        <f t="shared" si="14"/>
        <v>-13577</v>
      </c>
    </row>
    <row r="950" spans="1:11" x14ac:dyDescent="0.45">
      <c r="A950" t="s">
        <v>343</v>
      </c>
      <c r="B950" t="s">
        <v>572</v>
      </c>
      <c r="C950" t="s">
        <v>577</v>
      </c>
      <c r="E950" t="s">
        <v>590</v>
      </c>
      <c r="F950">
        <v>60578</v>
      </c>
      <c r="G950" t="s">
        <v>594</v>
      </c>
      <c r="J950" t="s">
        <v>614</v>
      </c>
      <c r="K950">
        <f t="shared" si="14"/>
        <v>60578</v>
      </c>
    </row>
    <row r="951" spans="1:11" x14ac:dyDescent="0.45">
      <c r="A951" t="s">
        <v>343</v>
      </c>
      <c r="B951" t="s">
        <v>572</v>
      </c>
      <c r="D951" t="s">
        <v>583</v>
      </c>
      <c r="E951" t="s">
        <v>591</v>
      </c>
      <c r="F951">
        <v>19452</v>
      </c>
      <c r="G951" t="s">
        <v>594</v>
      </c>
      <c r="J951" t="s">
        <v>606</v>
      </c>
      <c r="K951">
        <f t="shared" si="14"/>
        <v>-19452</v>
      </c>
    </row>
    <row r="952" spans="1:11" x14ac:dyDescent="0.45">
      <c r="A952" t="s">
        <v>229</v>
      </c>
      <c r="B952" t="s">
        <v>572</v>
      </c>
      <c r="D952" t="s">
        <v>584</v>
      </c>
      <c r="E952" t="s">
        <v>591</v>
      </c>
      <c r="F952">
        <v>6128</v>
      </c>
      <c r="G952" t="s">
        <v>598</v>
      </c>
      <c r="J952" t="s">
        <v>608</v>
      </c>
      <c r="K952">
        <f t="shared" si="14"/>
        <v>-6128</v>
      </c>
    </row>
    <row r="953" spans="1:11" x14ac:dyDescent="0.45">
      <c r="A953" t="s">
        <v>229</v>
      </c>
      <c r="B953" t="s">
        <v>572</v>
      </c>
      <c r="D953" t="s">
        <v>587</v>
      </c>
      <c r="E953" t="s">
        <v>591</v>
      </c>
      <c r="F953">
        <v>667</v>
      </c>
      <c r="G953" t="s">
        <v>594</v>
      </c>
      <c r="J953" t="s">
        <v>605</v>
      </c>
      <c r="K953">
        <f t="shared" si="14"/>
        <v>-667</v>
      </c>
    </row>
    <row r="954" spans="1:11" x14ac:dyDescent="0.45">
      <c r="A954" t="s">
        <v>28</v>
      </c>
      <c r="B954" t="s">
        <v>572</v>
      </c>
      <c r="D954" t="s">
        <v>582</v>
      </c>
      <c r="E954" t="s">
        <v>591</v>
      </c>
      <c r="F954">
        <v>33216</v>
      </c>
      <c r="G954" t="s">
        <v>595</v>
      </c>
      <c r="J954" t="s">
        <v>608</v>
      </c>
      <c r="K954">
        <f t="shared" si="14"/>
        <v>-33216</v>
      </c>
    </row>
    <row r="955" spans="1:11" x14ac:dyDescent="0.45">
      <c r="A955" t="s">
        <v>30</v>
      </c>
      <c r="B955" t="s">
        <v>572</v>
      </c>
      <c r="E955" t="s">
        <v>592</v>
      </c>
      <c r="F955">
        <v>22003</v>
      </c>
      <c r="G955" t="s">
        <v>596</v>
      </c>
      <c r="H955" t="s">
        <v>601</v>
      </c>
      <c r="I955">
        <v>-0.37</v>
      </c>
      <c r="J955" t="s">
        <v>614</v>
      </c>
      <c r="K955">
        <f t="shared" si="14"/>
        <v>-22003</v>
      </c>
    </row>
    <row r="956" spans="1:11" x14ac:dyDescent="0.45">
      <c r="A956" t="s">
        <v>341</v>
      </c>
      <c r="B956" t="s">
        <v>570</v>
      </c>
      <c r="E956" t="s">
        <v>592</v>
      </c>
      <c r="F956">
        <v>157720</v>
      </c>
      <c r="G956" t="s">
        <v>593</v>
      </c>
      <c r="H956" t="s">
        <v>600</v>
      </c>
      <c r="I956">
        <v>13.3</v>
      </c>
      <c r="J956" t="s">
        <v>611</v>
      </c>
      <c r="K956">
        <f t="shared" si="14"/>
        <v>-157720</v>
      </c>
    </row>
    <row r="957" spans="1:11" x14ac:dyDescent="0.45">
      <c r="A957" t="s">
        <v>341</v>
      </c>
      <c r="B957" t="s">
        <v>570</v>
      </c>
      <c r="D957" t="s">
        <v>584</v>
      </c>
      <c r="E957" t="s">
        <v>591</v>
      </c>
      <c r="F957">
        <v>2134</v>
      </c>
      <c r="G957" t="s">
        <v>597</v>
      </c>
      <c r="J957" t="s">
        <v>609</v>
      </c>
      <c r="K957">
        <f t="shared" si="14"/>
        <v>-2134</v>
      </c>
    </row>
    <row r="958" spans="1:11" x14ac:dyDescent="0.45">
      <c r="A958" t="s">
        <v>341</v>
      </c>
      <c r="B958" t="s">
        <v>570</v>
      </c>
      <c r="E958" t="s">
        <v>592</v>
      </c>
      <c r="F958">
        <v>84002</v>
      </c>
      <c r="G958" t="s">
        <v>597</v>
      </c>
      <c r="H958" t="s">
        <v>604</v>
      </c>
      <c r="I958">
        <v>14.61</v>
      </c>
      <c r="J958" t="s">
        <v>612</v>
      </c>
      <c r="K958">
        <f t="shared" si="14"/>
        <v>-84002</v>
      </c>
    </row>
    <row r="959" spans="1:11" x14ac:dyDescent="0.45">
      <c r="A959" t="s">
        <v>490</v>
      </c>
      <c r="B959" t="s">
        <v>570</v>
      </c>
      <c r="D959" t="s">
        <v>582</v>
      </c>
      <c r="E959" t="s">
        <v>591</v>
      </c>
      <c r="F959">
        <v>21472</v>
      </c>
      <c r="G959" t="s">
        <v>597</v>
      </c>
      <c r="J959" t="s">
        <v>614</v>
      </c>
      <c r="K959">
        <f t="shared" si="14"/>
        <v>-21472</v>
      </c>
    </row>
    <row r="960" spans="1:11" x14ac:dyDescent="0.45">
      <c r="A960" t="s">
        <v>409</v>
      </c>
      <c r="B960" t="s">
        <v>570</v>
      </c>
      <c r="D960" t="s">
        <v>587</v>
      </c>
      <c r="E960" t="s">
        <v>591</v>
      </c>
      <c r="F960">
        <v>1030</v>
      </c>
      <c r="G960" t="s">
        <v>596</v>
      </c>
      <c r="J960" t="s">
        <v>612</v>
      </c>
      <c r="K960">
        <f t="shared" si="14"/>
        <v>-1030</v>
      </c>
    </row>
    <row r="961" spans="1:11" x14ac:dyDescent="0.45">
      <c r="A961" t="s">
        <v>409</v>
      </c>
      <c r="B961" t="s">
        <v>570</v>
      </c>
      <c r="D961" t="s">
        <v>589</v>
      </c>
      <c r="E961" t="s">
        <v>591</v>
      </c>
      <c r="F961">
        <v>45031</v>
      </c>
      <c r="G961" t="s">
        <v>596</v>
      </c>
      <c r="J961" t="s">
        <v>607</v>
      </c>
      <c r="K961">
        <f t="shared" si="14"/>
        <v>-45031</v>
      </c>
    </row>
    <row r="962" spans="1:11" x14ac:dyDescent="0.45">
      <c r="A962" t="s">
        <v>409</v>
      </c>
      <c r="B962" t="s">
        <v>570</v>
      </c>
      <c r="D962" t="s">
        <v>587</v>
      </c>
      <c r="E962" t="s">
        <v>591</v>
      </c>
      <c r="F962">
        <v>394</v>
      </c>
      <c r="G962" t="s">
        <v>596</v>
      </c>
      <c r="J962" t="s">
        <v>612</v>
      </c>
      <c r="K962">
        <f t="shared" ref="K962:K1001" si="15">IF(E962= "Income", F962, -F962)</f>
        <v>-394</v>
      </c>
    </row>
    <row r="963" spans="1:11" x14ac:dyDescent="0.45">
      <c r="A963" t="s">
        <v>465</v>
      </c>
      <c r="B963" t="s">
        <v>570</v>
      </c>
      <c r="E963" t="s">
        <v>592</v>
      </c>
      <c r="F963">
        <v>17062</v>
      </c>
      <c r="G963" t="s">
        <v>593</v>
      </c>
      <c r="H963" t="s">
        <v>601</v>
      </c>
      <c r="I963">
        <v>0.45</v>
      </c>
      <c r="J963" t="s">
        <v>612</v>
      </c>
      <c r="K963">
        <f t="shared" si="15"/>
        <v>-17062</v>
      </c>
    </row>
    <row r="964" spans="1:11" x14ac:dyDescent="0.45">
      <c r="A964" t="s">
        <v>465</v>
      </c>
      <c r="B964" t="s">
        <v>570</v>
      </c>
      <c r="C964" t="s">
        <v>581</v>
      </c>
      <c r="E964" t="s">
        <v>590</v>
      </c>
      <c r="F964">
        <v>139938</v>
      </c>
      <c r="G964" t="s">
        <v>593</v>
      </c>
      <c r="J964" t="s">
        <v>607</v>
      </c>
      <c r="K964">
        <f t="shared" si="15"/>
        <v>139938</v>
      </c>
    </row>
    <row r="965" spans="1:11" x14ac:dyDescent="0.45">
      <c r="A965" t="s">
        <v>288</v>
      </c>
      <c r="B965" t="s">
        <v>570</v>
      </c>
      <c r="D965" t="s">
        <v>589</v>
      </c>
      <c r="E965" t="s">
        <v>591</v>
      </c>
      <c r="F965">
        <v>18401</v>
      </c>
      <c r="G965" t="s">
        <v>598</v>
      </c>
      <c r="J965" t="s">
        <v>608</v>
      </c>
      <c r="K965">
        <f t="shared" si="15"/>
        <v>-18401</v>
      </c>
    </row>
    <row r="966" spans="1:11" x14ac:dyDescent="0.45">
      <c r="A966" t="s">
        <v>426</v>
      </c>
      <c r="B966" t="s">
        <v>570</v>
      </c>
      <c r="C966" t="s">
        <v>580</v>
      </c>
      <c r="E966" t="s">
        <v>590</v>
      </c>
      <c r="F966">
        <v>15471</v>
      </c>
      <c r="G966" t="s">
        <v>598</v>
      </c>
      <c r="J966" t="s">
        <v>608</v>
      </c>
      <c r="K966">
        <f t="shared" si="15"/>
        <v>15471</v>
      </c>
    </row>
    <row r="967" spans="1:11" x14ac:dyDescent="0.45">
      <c r="A967" t="s">
        <v>125</v>
      </c>
      <c r="B967" t="s">
        <v>570</v>
      </c>
      <c r="C967" t="s">
        <v>580</v>
      </c>
      <c r="E967" t="s">
        <v>590</v>
      </c>
      <c r="F967">
        <v>141929</v>
      </c>
      <c r="G967" t="s">
        <v>596</v>
      </c>
      <c r="J967" t="s">
        <v>608</v>
      </c>
      <c r="K967">
        <f t="shared" si="15"/>
        <v>141929</v>
      </c>
    </row>
    <row r="968" spans="1:11" x14ac:dyDescent="0.45">
      <c r="A968" t="s">
        <v>443</v>
      </c>
      <c r="B968" t="s">
        <v>570</v>
      </c>
      <c r="C968" t="s">
        <v>575</v>
      </c>
      <c r="E968" t="s">
        <v>590</v>
      </c>
      <c r="F968">
        <v>139575</v>
      </c>
      <c r="G968" t="s">
        <v>596</v>
      </c>
      <c r="J968" t="s">
        <v>611</v>
      </c>
      <c r="K968">
        <f t="shared" si="15"/>
        <v>139575</v>
      </c>
    </row>
    <row r="969" spans="1:11" x14ac:dyDescent="0.45">
      <c r="A969" t="s">
        <v>308</v>
      </c>
      <c r="B969" t="s">
        <v>570</v>
      </c>
      <c r="C969" t="s">
        <v>575</v>
      </c>
      <c r="E969" t="s">
        <v>590</v>
      </c>
      <c r="F969">
        <v>45991</v>
      </c>
      <c r="G969" t="s">
        <v>595</v>
      </c>
      <c r="J969" t="s">
        <v>609</v>
      </c>
      <c r="K969">
        <f t="shared" si="15"/>
        <v>45991</v>
      </c>
    </row>
    <row r="970" spans="1:11" x14ac:dyDescent="0.45">
      <c r="A970" t="s">
        <v>308</v>
      </c>
      <c r="B970" t="s">
        <v>570</v>
      </c>
      <c r="D970" t="s">
        <v>583</v>
      </c>
      <c r="E970" t="s">
        <v>591</v>
      </c>
      <c r="F970">
        <v>12999</v>
      </c>
      <c r="G970" t="s">
        <v>595</v>
      </c>
      <c r="J970" t="s">
        <v>611</v>
      </c>
      <c r="K970">
        <f t="shared" si="15"/>
        <v>-12999</v>
      </c>
    </row>
    <row r="971" spans="1:11" x14ac:dyDescent="0.45">
      <c r="A971" t="s">
        <v>480</v>
      </c>
      <c r="B971" t="s">
        <v>570</v>
      </c>
      <c r="D971" t="s">
        <v>582</v>
      </c>
      <c r="E971" t="s">
        <v>591</v>
      </c>
      <c r="F971">
        <v>31084</v>
      </c>
      <c r="G971" t="s">
        <v>597</v>
      </c>
      <c r="J971" t="s">
        <v>613</v>
      </c>
      <c r="K971">
        <f t="shared" si="15"/>
        <v>-31084</v>
      </c>
    </row>
    <row r="972" spans="1:11" x14ac:dyDescent="0.45">
      <c r="A972" t="s">
        <v>480</v>
      </c>
      <c r="B972" t="s">
        <v>570</v>
      </c>
      <c r="D972" t="s">
        <v>583</v>
      </c>
      <c r="E972" t="s">
        <v>591</v>
      </c>
      <c r="F972">
        <v>18753</v>
      </c>
      <c r="G972" t="s">
        <v>595</v>
      </c>
      <c r="J972" t="s">
        <v>605</v>
      </c>
      <c r="K972">
        <f t="shared" si="15"/>
        <v>-18753</v>
      </c>
    </row>
    <row r="973" spans="1:11" x14ac:dyDescent="0.45">
      <c r="A973" t="s">
        <v>480</v>
      </c>
      <c r="B973" t="s">
        <v>570</v>
      </c>
      <c r="D973" t="s">
        <v>584</v>
      </c>
      <c r="E973" t="s">
        <v>591</v>
      </c>
      <c r="F973">
        <v>5512</v>
      </c>
      <c r="G973" t="s">
        <v>598</v>
      </c>
      <c r="J973" t="s">
        <v>607</v>
      </c>
      <c r="K973">
        <f t="shared" si="15"/>
        <v>-5512</v>
      </c>
    </row>
    <row r="974" spans="1:11" x14ac:dyDescent="0.45">
      <c r="A974" t="s">
        <v>378</v>
      </c>
      <c r="B974" t="s">
        <v>570</v>
      </c>
      <c r="E974" t="s">
        <v>592</v>
      </c>
      <c r="F974">
        <v>15899</v>
      </c>
      <c r="G974" t="s">
        <v>596</v>
      </c>
      <c r="H974" t="s">
        <v>601</v>
      </c>
      <c r="I974">
        <v>25.86</v>
      </c>
      <c r="J974" t="s">
        <v>608</v>
      </c>
      <c r="K974">
        <f t="shared" si="15"/>
        <v>-15899</v>
      </c>
    </row>
    <row r="975" spans="1:11" x14ac:dyDescent="0.45">
      <c r="A975" t="s">
        <v>385</v>
      </c>
      <c r="B975" t="s">
        <v>570</v>
      </c>
      <c r="D975" t="s">
        <v>582</v>
      </c>
      <c r="E975" t="s">
        <v>591</v>
      </c>
      <c r="F975">
        <v>35676</v>
      </c>
      <c r="G975" t="s">
        <v>598</v>
      </c>
      <c r="J975" t="s">
        <v>612</v>
      </c>
      <c r="K975">
        <f t="shared" si="15"/>
        <v>-35676</v>
      </c>
    </row>
    <row r="976" spans="1:11" x14ac:dyDescent="0.45">
      <c r="A976" t="s">
        <v>385</v>
      </c>
      <c r="B976" t="s">
        <v>570</v>
      </c>
      <c r="D976" t="s">
        <v>586</v>
      </c>
      <c r="E976" t="s">
        <v>591</v>
      </c>
      <c r="F976">
        <v>4903</v>
      </c>
      <c r="G976" t="s">
        <v>596</v>
      </c>
      <c r="J976" t="s">
        <v>613</v>
      </c>
      <c r="K976">
        <f t="shared" si="15"/>
        <v>-4903</v>
      </c>
    </row>
    <row r="977" spans="1:11" x14ac:dyDescent="0.45">
      <c r="A977" t="s">
        <v>322</v>
      </c>
      <c r="B977" t="s">
        <v>570</v>
      </c>
      <c r="D977" t="s">
        <v>585</v>
      </c>
      <c r="E977" t="s">
        <v>591</v>
      </c>
      <c r="F977">
        <v>5213</v>
      </c>
      <c r="G977" t="s">
        <v>595</v>
      </c>
      <c r="J977" t="s">
        <v>612</v>
      </c>
      <c r="K977">
        <f t="shared" si="15"/>
        <v>-5213</v>
      </c>
    </row>
    <row r="978" spans="1:11" x14ac:dyDescent="0.45">
      <c r="A978" t="s">
        <v>322</v>
      </c>
      <c r="B978" t="s">
        <v>570</v>
      </c>
      <c r="C978" t="s">
        <v>575</v>
      </c>
      <c r="E978" t="s">
        <v>590</v>
      </c>
      <c r="F978">
        <v>36133</v>
      </c>
      <c r="G978" t="s">
        <v>598</v>
      </c>
      <c r="J978" t="s">
        <v>606</v>
      </c>
      <c r="K978">
        <f t="shared" si="15"/>
        <v>36133</v>
      </c>
    </row>
    <row r="979" spans="1:11" x14ac:dyDescent="0.45">
      <c r="A979" t="s">
        <v>322</v>
      </c>
      <c r="B979" t="s">
        <v>570</v>
      </c>
      <c r="D979" t="s">
        <v>584</v>
      </c>
      <c r="E979" t="s">
        <v>591</v>
      </c>
      <c r="F979">
        <v>5611</v>
      </c>
      <c r="G979" t="s">
        <v>596</v>
      </c>
      <c r="J979" t="s">
        <v>609</v>
      </c>
      <c r="K979">
        <f t="shared" si="15"/>
        <v>-5611</v>
      </c>
    </row>
    <row r="980" spans="1:11" x14ac:dyDescent="0.45">
      <c r="A980" t="s">
        <v>322</v>
      </c>
      <c r="B980" t="s">
        <v>570</v>
      </c>
      <c r="D980" t="s">
        <v>582</v>
      </c>
      <c r="E980" t="s">
        <v>591</v>
      </c>
      <c r="F980">
        <v>30530</v>
      </c>
      <c r="G980" t="s">
        <v>597</v>
      </c>
      <c r="J980" t="s">
        <v>614</v>
      </c>
      <c r="K980">
        <f t="shared" si="15"/>
        <v>-30530</v>
      </c>
    </row>
    <row r="981" spans="1:11" x14ac:dyDescent="0.45">
      <c r="A981" t="s">
        <v>322</v>
      </c>
      <c r="B981" t="s">
        <v>570</v>
      </c>
      <c r="D981" t="s">
        <v>587</v>
      </c>
      <c r="E981" t="s">
        <v>591</v>
      </c>
      <c r="F981">
        <v>808</v>
      </c>
      <c r="G981" t="s">
        <v>595</v>
      </c>
      <c r="J981" t="s">
        <v>606</v>
      </c>
      <c r="K981">
        <f t="shared" si="15"/>
        <v>-808</v>
      </c>
    </row>
    <row r="982" spans="1:11" x14ac:dyDescent="0.45">
      <c r="A982" t="s">
        <v>467</v>
      </c>
      <c r="B982" t="s">
        <v>570</v>
      </c>
      <c r="C982" t="s">
        <v>577</v>
      </c>
      <c r="E982" t="s">
        <v>590</v>
      </c>
      <c r="F982">
        <v>42502</v>
      </c>
      <c r="G982" t="s">
        <v>597</v>
      </c>
      <c r="J982" t="s">
        <v>608</v>
      </c>
      <c r="K982">
        <f t="shared" si="15"/>
        <v>42502</v>
      </c>
    </row>
    <row r="983" spans="1:11" x14ac:dyDescent="0.45">
      <c r="A983" t="s">
        <v>467</v>
      </c>
      <c r="B983" t="s">
        <v>570</v>
      </c>
      <c r="E983" t="s">
        <v>592</v>
      </c>
      <c r="F983">
        <v>78311</v>
      </c>
      <c r="G983" t="s">
        <v>598</v>
      </c>
      <c r="H983" t="s">
        <v>604</v>
      </c>
      <c r="I983">
        <v>-11</v>
      </c>
      <c r="J983" t="s">
        <v>611</v>
      </c>
      <c r="K983">
        <f t="shared" si="15"/>
        <v>-78311</v>
      </c>
    </row>
    <row r="984" spans="1:11" x14ac:dyDescent="0.45">
      <c r="A984" t="s">
        <v>118</v>
      </c>
      <c r="B984" t="s">
        <v>570</v>
      </c>
      <c r="E984" t="s">
        <v>592</v>
      </c>
      <c r="F984">
        <v>12661</v>
      </c>
      <c r="G984" t="s">
        <v>593</v>
      </c>
      <c r="H984" t="s">
        <v>600</v>
      </c>
      <c r="I984">
        <v>7.21</v>
      </c>
      <c r="J984" t="s">
        <v>610</v>
      </c>
      <c r="K984">
        <f t="shared" si="15"/>
        <v>-12661</v>
      </c>
    </row>
    <row r="985" spans="1:11" x14ac:dyDescent="0.45">
      <c r="A985" t="s">
        <v>118</v>
      </c>
      <c r="B985" t="s">
        <v>570</v>
      </c>
      <c r="E985" t="s">
        <v>592</v>
      </c>
      <c r="F985">
        <v>165666</v>
      </c>
      <c r="G985" t="s">
        <v>594</v>
      </c>
      <c r="H985" t="s">
        <v>600</v>
      </c>
      <c r="I985">
        <v>12.44</v>
      </c>
      <c r="J985" t="s">
        <v>610</v>
      </c>
      <c r="K985">
        <f t="shared" si="15"/>
        <v>-165666</v>
      </c>
    </row>
    <row r="986" spans="1:11" x14ac:dyDescent="0.45">
      <c r="A986" t="s">
        <v>118</v>
      </c>
      <c r="B986" t="s">
        <v>570</v>
      </c>
      <c r="E986" t="s">
        <v>592</v>
      </c>
      <c r="F986">
        <v>41336</v>
      </c>
      <c r="G986" t="s">
        <v>593</v>
      </c>
      <c r="H986" t="s">
        <v>604</v>
      </c>
      <c r="I986">
        <v>15.59</v>
      </c>
      <c r="J986" t="s">
        <v>614</v>
      </c>
      <c r="K986">
        <f t="shared" si="15"/>
        <v>-41336</v>
      </c>
    </row>
    <row r="987" spans="1:11" x14ac:dyDescent="0.45">
      <c r="A987" t="s">
        <v>118</v>
      </c>
      <c r="B987" t="s">
        <v>570</v>
      </c>
      <c r="C987" t="s">
        <v>575</v>
      </c>
      <c r="E987" t="s">
        <v>590</v>
      </c>
      <c r="F987">
        <v>17439</v>
      </c>
      <c r="G987" t="s">
        <v>596</v>
      </c>
      <c r="J987" t="s">
        <v>614</v>
      </c>
      <c r="K987">
        <f t="shared" si="15"/>
        <v>17439</v>
      </c>
    </row>
    <row r="988" spans="1:11" x14ac:dyDescent="0.45">
      <c r="A988" t="s">
        <v>118</v>
      </c>
      <c r="B988" t="s">
        <v>570</v>
      </c>
      <c r="D988" t="s">
        <v>582</v>
      </c>
      <c r="E988" t="s">
        <v>591</v>
      </c>
      <c r="F988">
        <v>16246</v>
      </c>
      <c r="G988" t="s">
        <v>595</v>
      </c>
      <c r="J988" t="s">
        <v>605</v>
      </c>
      <c r="K988">
        <f t="shared" si="15"/>
        <v>-16246</v>
      </c>
    </row>
    <row r="989" spans="1:11" x14ac:dyDescent="0.45">
      <c r="A989" t="s">
        <v>118</v>
      </c>
      <c r="B989" t="s">
        <v>570</v>
      </c>
      <c r="D989" t="s">
        <v>587</v>
      </c>
      <c r="E989" t="s">
        <v>591</v>
      </c>
      <c r="F989">
        <v>1650</v>
      </c>
      <c r="G989" t="s">
        <v>593</v>
      </c>
      <c r="J989" t="s">
        <v>608</v>
      </c>
      <c r="K989">
        <f t="shared" si="15"/>
        <v>-1650</v>
      </c>
    </row>
    <row r="990" spans="1:11" x14ac:dyDescent="0.45">
      <c r="A990" t="s">
        <v>136</v>
      </c>
      <c r="B990" t="s">
        <v>570</v>
      </c>
      <c r="E990" t="s">
        <v>592</v>
      </c>
      <c r="F990">
        <v>47048</v>
      </c>
      <c r="G990" t="s">
        <v>596</v>
      </c>
      <c r="H990" t="s">
        <v>599</v>
      </c>
      <c r="I990">
        <v>-4.96</v>
      </c>
      <c r="J990" t="s">
        <v>608</v>
      </c>
      <c r="K990">
        <f t="shared" si="15"/>
        <v>-47048</v>
      </c>
    </row>
    <row r="991" spans="1:11" x14ac:dyDescent="0.45">
      <c r="A991" t="s">
        <v>383</v>
      </c>
      <c r="B991" t="s">
        <v>570</v>
      </c>
      <c r="C991" t="s">
        <v>580</v>
      </c>
      <c r="E991" t="s">
        <v>590</v>
      </c>
      <c r="F991">
        <v>139992</v>
      </c>
      <c r="G991" t="s">
        <v>594</v>
      </c>
      <c r="J991" t="s">
        <v>612</v>
      </c>
      <c r="K991">
        <f t="shared" si="15"/>
        <v>139992</v>
      </c>
    </row>
    <row r="992" spans="1:11" x14ac:dyDescent="0.45">
      <c r="A992" t="s">
        <v>383</v>
      </c>
      <c r="B992" t="s">
        <v>570</v>
      </c>
      <c r="D992" t="s">
        <v>585</v>
      </c>
      <c r="E992" t="s">
        <v>591</v>
      </c>
      <c r="F992">
        <v>945</v>
      </c>
      <c r="G992" t="s">
        <v>597</v>
      </c>
      <c r="J992" t="s">
        <v>613</v>
      </c>
      <c r="K992">
        <f t="shared" si="15"/>
        <v>-945</v>
      </c>
    </row>
    <row r="993" spans="1:11" x14ac:dyDescent="0.45">
      <c r="A993" t="s">
        <v>432</v>
      </c>
      <c r="B993" t="s">
        <v>570</v>
      </c>
      <c r="C993" t="s">
        <v>575</v>
      </c>
      <c r="E993" t="s">
        <v>590</v>
      </c>
      <c r="F993">
        <v>58253</v>
      </c>
      <c r="G993" t="s">
        <v>597</v>
      </c>
      <c r="J993" t="s">
        <v>614</v>
      </c>
      <c r="K993">
        <f t="shared" si="15"/>
        <v>58253</v>
      </c>
    </row>
    <row r="994" spans="1:11" x14ac:dyDescent="0.45">
      <c r="A994" t="s">
        <v>158</v>
      </c>
      <c r="B994" t="s">
        <v>570</v>
      </c>
      <c r="E994" t="s">
        <v>592</v>
      </c>
      <c r="F994">
        <v>55604</v>
      </c>
      <c r="G994" t="s">
        <v>598</v>
      </c>
      <c r="H994" t="s">
        <v>602</v>
      </c>
      <c r="I994">
        <v>27.5</v>
      </c>
      <c r="J994" t="s">
        <v>612</v>
      </c>
      <c r="K994">
        <f t="shared" si="15"/>
        <v>-55604</v>
      </c>
    </row>
    <row r="995" spans="1:11" x14ac:dyDescent="0.45">
      <c r="A995" t="s">
        <v>158</v>
      </c>
      <c r="B995" t="s">
        <v>570</v>
      </c>
      <c r="D995" t="s">
        <v>587</v>
      </c>
      <c r="E995" t="s">
        <v>591</v>
      </c>
      <c r="F995">
        <v>474</v>
      </c>
      <c r="G995" t="s">
        <v>594</v>
      </c>
      <c r="J995" t="s">
        <v>609</v>
      </c>
      <c r="K995">
        <f t="shared" si="15"/>
        <v>-474</v>
      </c>
    </row>
    <row r="996" spans="1:11" x14ac:dyDescent="0.45">
      <c r="A996" t="s">
        <v>562</v>
      </c>
      <c r="B996" t="s">
        <v>570</v>
      </c>
      <c r="D996" t="s">
        <v>588</v>
      </c>
      <c r="E996" t="s">
        <v>591</v>
      </c>
      <c r="F996">
        <v>1897</v>
      </c>
      <c r="G996" t="s">
        <v>597</v>
      </c>
      <c r="J996" t="s">
        <v>614</v>
      </c>
      <c r="K996">
        <f t="shared" si="15"/>
        <v>-1897</v>
      </c>
    </row>
    <row r="997" spans="1:11" x14ac:dyDescent="0.45">
      <c r="A997" t="s">
        <v>79</v>
      </c>
      <c r="B997" t="s">
        <v>570</v>
      </c>
      <c r="D997" t="s">
        <v>586</v>
      </c>
      <c r="E997" t="s">
        <v>591</v>
      </c>
      <c r="F997">
        <v>12434</v>
      </c>
      <c r="G997" t="s">
        <v>595</v>
      </c>
      <c r="J997" t="s">
        <v>610</v>
      </c>
      <c r="K997">
        <f t="shared" si="15"/>
        <v>-12434</v>
      </c>
    </row>
    <row r="998" spans="1:11" x14ac:dyDescent="0.45">
      <c r="A998" t="s">
        <v>79</v>
      </c>
      <c r="B998" t="s">
        <v>570</v>
      </c>
      <c r="D998" t="s">
        <v>588</v>
      </c>
      <c r="E998" t="s">
        <v>591</v>
      </c>
      <c r="F998">
        <v>7817</v>
      </c>
      <c r="G998" t="s">
        <v>594</v>
      </c>
      <c r="J998" t="s">
        <v>609</v>
      </c>
      <c r="K998">
        <f t="shared" si="15"/>
        <v>-7817</v>
      </c>
    </row>
    <row r="999" spans="1:11" x14ac:dyDescent="0.45">
      <c r="A999" t="s">
        <v>271</v>
      </c>
      <c r="B999" t="s">
        <v>570</v>
      </c>
      <c r="C999" t="s">
        <v>576</v>
      </c>
      <c r="E999" t="s">
        <v>590</v>
      </c>
      <c r="F999">
        <v>89461</v>
      </c>
      <c r="G999" t="s">
        <v>594</v>
      </c>
      <c r="J999" t="s">
        <v>609</v>
      </c>
      <c r="K999">
        <f t="shared" si="15"/>
        <v>89461</v>
      </c>
    </row>
    <row r="1000" spans="1:11" x14ac:dyDescent="0.45">
      <c r="A1000" t="s">
        <v>271</v>
      </c>
      <c r="B1000" t="s">
        <v>570</v>
      </c>
      <c r="D1000" t="s">
        <v>587</v>
      </c>
      <c r="E1000" t="s">
        <v>591</v>
      </c>
      <c r="F1000">
        <v>2517</v>
      </c>
      <c r="G1000" t="s">
        <v>597</v>
      </c>
      <c r="J1000" t="s">
        <v>610</v>
      </c>
      <c r="K1000">
        <f t="shared" si="15"/>
        <v>-2517</v>
      </c>
    </row>
    <row r="1001" spans="1:11" x14ac:dyDescent="0.45">
      <c r="A1001" t="s">
        <v>38</v>
      </c>
      <c r="B1001" t="s">
        <v>570</v>
      </c>
      <c r="D1001" t="s">
        <v>588</v>
      </c>
      <c r="E1001" t="s">
        <v>591</v>
      </c>
      <c r="F1001">
        <v>7677</v>
      </c>
      <c r="G1001" t="s">
        <v>597</v>
      </c>
      <c r="J1001" t="s">
        <v>613</v>
      </c>
      <c r="K1001">
        <f t="shared" si="15"/>
        <v>-7677</v>
      </c>
    </row>
  </sheetData>
  <sortState ref="A2:K1001">
    <sortCondition ref="A2:A1001" customList="January,February,March,April,May,June,July,August,September,October,November,December"/>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K51"/>
  <sheetViews>
    <sheetView zoomScale="55" zoomScaleNormal="55" workbookViewId="0">
      <selection activeCell="N14" sqref="N14"/>
    </sheetView>
  </sheetViews>
  <sheetFormatPr defaultRowHeight="14.25" x14ac:dyDescent="0.45"/>
  <cols>
    <col min="1" max="1" width="17.1328125" bestFit="1" customWidth="1"/>
    <col min="2" max="2" width="16.33203125" bestFit="1" customWidth="1"/>
    <col min="3" max="3" width="8.73046875" customWidth="1"/>
    <col min="4" max="4" width="10.06640625" customWidth="1"/>
    <col min="5" max="5" width="10.19921875" bestFit="1" customWidth="1"/>
    <col min="7" max="7" width="13.53125" customWidth="1"/>
    <col min="8" max="8" width="17.1328125" bestFit="1" customWidth="1"/>
    <col min="10" max="10" width="14.1328125" customWidth="1"/>
    <col min="11" max="11" width="17.1328125" bestFit="1" customWidth="1"/>
  </cols>
  <sheetData>
    <row r="1" spans="1:11" x14ac:dyDescent="0.45">
      <c r="G1" s="2" t="s">
        <v>4</v>
      </c>
      <c r="H1" s="5" t="s">
        <v>591</v>
      </c>
      <c r="J1" s="2" t="s">
        <v>4</v>
      </c>
      <c r="K1" s="5" t="s">
        <v>592</v>
      </c>
    </row>
    <row r="3" spans="1:11" x14ac:dyDescent="0.45">
      <c r="A3" s="2" t="s">
        <v>619</v>
      </c>
      <c r="B3" s="2" t="s">
        <v>618</v>
      </c>
      <c r="G3" s="2" t="s">
        <v>616</v>
      </c>
      <c r="H3" t="s">
        <v>619</v>
      </c>
      <c r="J3" s="2" t="s">
        <v>616</v>
      </c>
      <c r="K3" t="s">
        <v>619</v>
      </c>
    </row>
    <row r="4" spans="1:11" x14ac:dyDescent="0.45">
      <c r="A4" s="2" t="s">
        <v>616</v>
      </c>
      <c r="B4" s="5" t="s">
        <v>591</v>
      </c>
      <c r="C4" s="5" t="s">
        <v>590</v>
      </c>
      <c r="D4" s="5" t="s">
        <v>592</v>
      </c>
      <c r="E4" s="5" t="s">
        <v>617</v>
      </c>
      <c r="G4" s="3" t="s">
        <v>582</v>
      </c>
      <c r="H4" s="4">
        <v>-1792486</v>
      </c>
      <c r="J4" s="3" t="s">
        <v>600</v>
      </c>
      <c r="K4" s="4">
        <v>-3658542</v>
      </c>
    </row>
    <row r="5" spans="1:11" x14ac:dyDescent="0.45">
      <c r="A5" s="3" t="s">
        <v>568</v>
      </c>
      <c r="B5" s="4">
        <v>-662032</v>
      </c>
      <c r="C5" s="4">
        <v>2526732</v>
      </c>
      <c r="D5" s="4">
        <v>-1019433</v>
      </c>
      <c r="E5" s="4">
        <v>845267</v>
      </c>
      <c r="G5" s="3" t="s">
        <v>589</v>
      </c>
      <c r="H5" s="4">
        <v>-1756093</v>
      </c>
      <c r="J5" s="3" t="s">
        <v>604</v>
      </c>
      <c r="K5" s="4">
        <v>-2179619</v>
      </c>
    </row>
    <row r="6" spans="1:11" x14ac:dyDescent="0.45">
      <c r="A6" s="3" t="s">
        <v>569</v>
      </c>
      <c r="B6" s="4">
        <v>-649743</v>
      </c>
      <c r="C6" s="4">
        <v>2525745</v>
      </c>
      <c r="D6" s="4">
        <v>-960653</v>
      </c>
      <c r="E6" s="4">
        <v>915349</v>
      </c>
      <c r="G6" s="3" t="s">
        <v>586</v>
      </c>
      <c r="H6" s="4">
        <v>-841926</v>
      </c>
      <c r="J6" s="3" t="s">
        <v>603</v>
      </c>
      <c r="K6" s="4">
        <v>-1686450</v>
      </c>
    </row>
    <row r="7" spans="1:11" x14ac:dyDescent="0.45">
      <c r="A7" s="3" t="s">
        <v>574</v>
      </c>
      <c r="B7" s="4">
        <v>-403962</v>
      </c>
      <c r="C7" s="4">
        <v>2502299</v>
      </c>
      <c r="D7" s="4">
        <v>-688516</v>
      </c>
      <c r="E7" s="4">
        <v>1409821</v>
      </c>
      <c r="G7" s="3" t="s">
        <v>583</v>
      </c>
      <c r="H7" s="4">
        <v>-821621</v>
      </c>
      <c r="J7" s="3" t="s">
        <v>602</v>
      </c>
      <c r="K7" s="4">
        <v>-1586395</v>
      </c>
    </row>
    <row r="8" spans="1:11" x14ac:dyDescent="0.45">
      <c r="A8" s="3" t="s">
        <v>565</v>
      </c>
      <c r="B8" s="4">
        <v>-681376</v>
      </c>
      <c r="C8" s="4">
        <v>2917218</v>
      </c>
      <c r="D8" s="4">
        <v>-984731</v>
      </c>
      <c r="E8" s="4">
        <v>1251111</v>
      </c>
      <c r="G8" s="3" t="s">
        <v>588</v>
      </c>
      <c r="H8" s="4">
        <v>-390349</v>
      </c>
      <c r="J8" s="3" t="s">
        <v>599</v>
      </c>
      <c r="K8" s="4">
        <v>-749482</v>
      </c>
    </row>
    <row r="9" spans="1:11" x14ac:dyDescent="0.45">
      <c r="A9" s="3" t="s">
        <v>564</v>
      </c>
      <c r="B9" s="4">
        <v>-380104</v>
      </c>
      <c r="C9" s="4">
        <v>2432788</v>
      </c>
      <c r="D9" s="4">
        <v>-675980</v>
      </c>
      <c r="E9" s="4">
        <v>1376704</v>
      </c>
      <c r="G9" s="3" t="s">
        <v>585</v>
      </c>
      <c r="H9" s="4">
        <v>-364916</v>
      </c>
      <c r="J9" s="3" t="s">
        <v>601</v>
      </c>
      <c r="K9" s="4">
        <v>-536622</v>
      </c>
    </row>
    <row r="10" spans="1:11" x14ac:dyDescent="0.45">
      <c r="A10" s="3" t="s">
        <v>567</v>
      </c>
      <c r="B10" s="4">
        <v>-450913</v>
      </c>
      <c r="C10" s="4">
        <v>2012153</v>
      </c>
      <c r="D10" s="4">
        <v>-774222</v>
      </c>
      <c r="E10" s="4">
        <v>787018</v>
      </c>
      <c r="G10" s="3" t="s">
        <v>584</v>
      </c>
      <c r="H10" s="4">
        <v>-250997</v>
      </c>
      <c r="J10" s="3" t="s">
        <v>617</v>
      </c>
      <c r="K10" s="4">
        <v>-10397110</v>
      </c>
    </row>
    <row r="11" spans="1:11" x14ac:dyDescent="0.45">
      <c r="A11" s="3" t="s">
        <v>566</v>
      </c>
      <c r="B11" s="4">
        <v>-568602</v>
      </c>
      <c r="C11" s="4">
        <v>2037765</v>
      </c>
      <c r="D11" s="4">
        <v>-671923</v>
      </c>
      <c r="E11" s="4">
        <v>797240</v>
      </c>
      <c r="G11" s="3" t="s">
        <v>587</v>
      </c>
      <c r="H11" s="4">
        <v>-86721</v>
      </c>
    </row>
    <row r="12" spans="1:11" x14ac:dyDescent="0.45">
      <c r="A12" s="3" t="s">
        <v>571</v>
      </c>
      <c r="B12" s="4">
        <v>-529082</v>
      </c>
      <c r="C12" s="4">
        <v>3373763</v>
      </c>
      <c r="D12" s="4">
        <v>-1059976</v>
      </c>
      <c r="E12" s="4">
        <v>1784705</v>
      </c>
      <c r="G12" s="3" t="s">
        <v>617</v>
      </c>
      <c r="H12" s="4">
        <v>-6305109</v>
      </c>
      <c r="J12" s="2" t="s">
        <v>4</v>
      </c>
      <c r="K12" s="5" t="s">
        <v>591</v>
      </c>
    </row>
    <row r="13" spans="1:11" x14ac:dyDescent="0.45">
      <c r="A13" s="3" t="s">
        <v>573</v>
      </c>
      <c r="B13" s="4">
        <v>-421025</v>
      </c>
      <c r="C13" s="4">
        <v>2600158</v>
      </c>
      <c r="D13" s="4">
        <v>-785845</v>
      </c>
      <c r="E13" s="4">
        <v>1393288</v>
      </c>
      <c r="G13" s="2" t="s">
        <v>4</v>
      </c>
      <c r="H13" s="5" t="s">
        <v>591</v>
      </c>
    </row>
    <row r="14" spans="1:11" x14ac:dyDescent="0.45">
      <c r="A14" s="3" t="s">
        <v>563</v>
      </c>
      <c r="B14" s="4">
        <v>-567263</v>
      </c>
      <c r="C14" s="4">
        <v>2027679</v>
      </c>
      <c r="D14" s="4">
        <v>-800512</v>
      </c>
      <c r="E14" s="4">
        <v>659904</v>
      </c>
      <c r="J14" s="2" t="s">
        <v>616</v>
      </c>
      <c r="K14" t="s">
        <v>619</v>
      </c>
    </row>
    <row r="15" spans="1:11" x14ac:dyDescent="0.45">
      <c r="A15" s="3" t="s">
        <v>572</v>
      </c>
      <c r="B15" s="4">
        <v>-487856</v>
      </c>
      <c r="C15" s="4">
        <v>2658245</v>
      </c>
      <c r="D15" s="4">
        <v>-1076709</v>
      </c>
      <c r="E15" s="4">
        <v>1093680</v>
      </c>
      <c r="G15" s="2" t="s">
        <v>616</v>
      </c>
      <c r="H15" t="s">
        <v>619</v>
      </c>
      <c r="J15" s="3" t="s">
        <v>612</v>
      </c>
      <c r="K15" s="4">
        <v>-465814</v>
      </c>
    </row>
    <row r="16" spans="1:11" x14ac:dyDescent="0.45">
      <c r="A16" s="3" t="s">
        <v>570</v>
      </c>
      <c r="B16" s="4">
        <v>-503151</v>
      </c>
      <c r="C16" s="4">
        <v>1770889</v>
      </c>
      <c r="D16" s="4">
        <v>-898610</v>
      </c>
      <c r="E16" s="4">
        <v>369128</v>
      </c>
      <c r="G16" s="3" t="s">
        <v>596</v>
      </c>
      <c r="H16" s="4">
        <v>-863999</v>
      </c>
      <c r="J16" s="3" t="s">
        <v>608</v>
      </c>
      <c r="K16" s="4">
        <v>-509457</v>
      </c>
    </row>
    <row r="17" spans="1:11" x14ac:dyDescent="0.45">
      <c r="A17" s="3" t="s">
        <v>617</v>
      </c>
      <c r="B17" s="4">
        <v>-6305109</v>
      </c>
      <c r="C17" s="4">
        <v>29385434</v>
      </c>
      <c r="D17" s="4">
        <v>-10397110</v>
      </c>
      <c r="E17" s="4">
        <v>12683215</v>
      </c>
      <c r="G17" s="3" t="s">
        <v>595</v>
      </c>
      <c r="H17" s="4">
        <v>-980242</v>
      </c>
      <c r="J17" s="3" t="s">
        <v>614</v>
      </c>
      <c r="K17" s="4">
        <v>-555166</v>
      </c>
    </row>
    <row r="18" spans="1:11" x14ac:dyDescent="0.45">
      <c r="G18" s="3" t="s">
        <v>598</v>
      </c>
      <c r="H18" s="4">
        <v>-988525</v>
      </c>
      <c r="J18" s="3" t="s">
        <v>605</v>
      </c>
      <c r="K18" s="4">
        <v>-558787</v>
      </c>
    </row>
    <row r="19" spans="1:11" x14ac:dyDescent="0.45">
      <c r="G19" s="3" t="s">
        <v>597</v>
      </c>
      <c r="H19" s="4">
        <v>-1111118</v>
      </c>
      <c r="J19" s="3" t="s">
        <v>611</v>
      </c>
      <c r="K19" s="4">
        <v>-578385</v>
      </c>
    </row>
    <row r="20" spans="1:11" x14ac:dyDescent="0.45">
      <c r="G20" s="3" t="s">
        <v>594</v>
      </c>
      <c r="H20" s="4">
        <v>-1135217</v>
      </c>
      <c r="J20" s="3" t="s">
        <v>607</v>
      </c>
      <c r="K20" s="4">
        <v>-624220</v>
      </c>
    </row>
    <row r="21" spans="1:11" x14ac:dyDescent="0.45">
      <c r="G21" s="3" t="s">
        <v>593</v>
      </c>
      <c r="H21" s="4">
        <v>-1226008</v>
      </c>
      <c r="J21" s="3" t="s">
        <v>606</v>
      </c>
      <c r="K21" s="4">
        <v>-683636</v>
      </c>
    </row>
    <row r="22" spans="1:11" x14ac:dyDescent="0.45">
      <c r="G22" s="3" t="s">
        <v>617</v>
      </c>
      <c r="H22" s="4">
        <v>-6305109</v>
      </c>
      <c r="J22" s="3" t="s">
        <v>610</v>
      </c>
      <c r="K22" s="4">
        <v>-712937</v>
      </c>
    </row>
    <row r="23" spans="1:11" x14ac:dyDescent="0.45">
      <c r="J23" s="3" t="s">
        <v>613</v>
      </c>
      <c r="K23" s="4">
        <v>-729812</v>
      </c>
    </row>
    <row r="24" spans="1:11" x14ac:dyDescent="0.45">
      <c r="J24" s="3" t="s">
        <v>609</v>
      </c>
      <c r="K24" s="4">
        <v>-886895</v>
      </c>
    </row>
    <row r="25" spans="1:11" x14ac:dyDescent="0.45">
      <c r="J25" s="3" t="s">
        <v>617</v>
      </c>
      <c r="K25" s="4">
        <v>-6305109</v>
      </c>
    </row>
    <row r="38" spans="7:8" x14ac:dyDescent="0.45">
      <c r="G38" s="2" t="s">
        <v>616</v>
      </c>
      <c r="H38" t="s">
        <v>619</v>
      </c>
    </row>
    <row r="39" spans="7:8" x14ac:dyDescent="0.45">
      <c r="G39" s="3" t="s">
        <v>568</v>
      </c>
      <c r="H39" s="4">
        <v>845267</v>
      </c>
    </row>
    <row r="40" spans="7:8" x14ac:dyDescent="0.45">
      <c r="G40" s="3" t="s">
        <v>569</v>
      </c>
      <c r="H40" s="4">
        <v>915349</v>
      </c>
    </row>
    <row r="41" spans="7:8" x14ac:dyDescent="0.45">
      <c r="G41" s="3" t="s">
        <v>574</v>
      </c>
      <c r="H41" s="4">
        <v>1409821</v>
      </c>
    </row>
    <row r="42" spans="7:8" x14ac:dyDescent="0.45">
      <c r="G42" s="3" t="s">
        <v>565</v>
      </c>
      <c r="H42" s="4">
        <v>1251111</v>
      </c>
    </row>
    <row r="43" spans="7:8" x14ac:dyDescent="0.45">
      <c r="G43" s="3" t="s">
        <v>564</v>
      </c>
      <c r="H43" s="4">
        <v>1376704</v>
      </c>
    </row>
    <row r="44" spans="7:8" x14ac:dyDescent="0.45">
      <c r="G44" s="3" t="s">
        <v>567</v>
      </c>
      <c r="H44" s="4">
        <v>787018</v>
      </c>
    </row>
    <row r="45" spans="7:8" x14ac:dyDescent="0.45">
      <c r="G45" s="3" t="s">
        <v>566</v>
      </c>
      <c r="H45" s="4">
        <v>797240</v>
      </c>
    </row>
    <row r="46" spans="7:8" x14ac:dyDescent="0.45">
      <c r="G46" s="3" t="s">
        <v>571</v>
      </c>
      <c r="H46" s="4">
        <v>1784705</v>
      </c>
    </row>
    <row r="47" spans="7:8" x14ac:dyDescent="0.45">
      <c r="G47" s="3" t="s">
        <v>573</v>
      </c>
      <c r="H47" s="4">
        <v>1393288</v>
      </c>
    </row>
    <row r="48" spans="7:8" x14ac:dyDescent="0.45">
      <c r="G48" s="3" t="s">
        <v>563</v>
      </c>
      <c r="H48" s="4">
        <v>659904</v>
      </c>
    </row>
    <row r="49" spans="7:8" x14ac:dyDescent="0.45">
      <c r="G49" s="3" t="s">
        <v>572</v>
      </c>
      <c r="H49" s="4">
        <v>1093680</v>
      </c>
    </row>
    <row r="50" spans="7:8" x14ac:dyDescent="0.45">
      <c r="G50" s="3" t="s">
        <v>570</v>
      </c>
      <c r="H50" s="4">
        <v>369128</v>
      </c>
    </row>
    <row r="51" spans="7:8" x14ac:dyDescent="0.45">
      <c r="G51" s="3" t="s">
        <v>617</v>
      </c>
      <c r="H51" s="4">
        <v>12683215</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B1:I12"/>
  <sheetViews>
    <sheetView workbookViewId="0">
      <selection activeCell="C14" sqref="C14"/>
    </sheetView>
  </sheetViews>
  <sheetFormatPr defaultRowHeight="14.25" x14ac:dyDescent="0.45"/>
  <cols>
    <col min="2" max="2" width="17.1328125" bestFit="1" customWidth="1"/>
    <col min="3" max="3" width="8.6640625" customWidth="1"/>
    <col min="5" max="5" width="17.1328125" bestFit="1" customWidth="1"/>
    <col min="6" max="6" width="9.33203125" customWidth="1"/>
    <col min="8" max="8" width="17.1328125" bestFit="1" customWidth="1"/>
    <col min="9" max="9" width="11.73046875" customWidth="1"/>
  </cols>
  <sheetData>
    <row r="1" spans="2:9" x14ac:dyDescent="0.45">
      <c r="B1" s="2" t="s">
        <v>4</v>
      </c>
      <c r="C1" s="5" t="s">
        <v>590</v>
      </c>
      <c r="E1" s="2" t="s">
        <v>4</v>
      </c>
      <c r="F1" s="5" t="s">
        <v>591</v>
      </c>
      <c r="H1" s="2" t="s">
        <v>4</v>
      </c>
      <c r="I1" s="5" t="s">
        <v>592</v>
      </c>
    </row>
    <row r="3" spans="2:9" x14ac:dyDescent="0.45">
      <c r="B3" t="s">
        <v>619</v>
      </c>
      <c r="E3" t="s">
        <v>619</v>
      </c>
      <c r="H3" t="s">
        <v>619</v>
      </c>
    </row>
    <row r="4" spans="2:9" x14ac:dyDescent="0.45">
      <c r="B4" s="4">
        <v>29385434</v>
      </c>
      <c r="E4" s="4">
        <v>-6305109</v>
      </c>
      <c r="H4" s="4">
        <v>-10397110</v>
      </c>
    </row>
    <row r="5" spans="2:9" x14ac:dyDescent="0.45">
      <c r="B5" s="6">
        <f>GETPIVOTDATA("Net Amount",$B$3)</f>
        <v>29385434</v>
      </c>
      <c r="E5" s="7">
        <f>ABS(GETPIVOTDATA("Net Amount",$E$3))</f>
        <v>6305109</v>
      </c>
      <c r="H5" s="6">
        <f>ABS(GETPIVOTDATA("Net Amount",$H$3))</f>
        <v>10397110</v>
      </c>
    </row>
    <row r="7" spans="2:9" x14ac:dyDescent="0.45">
      <c r="B7" t="s">
        <v>590</v>
      </c>
      <c r="E7" t="s">
        <v>620</v>
      </c>
      <c r="H7" t="s">
        <v>592</v>
      </c>
    </row>
    <row r="10" spans="2:9" x14ac:dyDescent="0.45">
      <c r="B10" t="s">
        <v>621</v>
      </c>
      <c r="C10" s="6">
        <f>GETPIVOTDATA("Net Amount",$B$3)+GETPIVOTDATA("Net Amount",$E$3)</f>
        <v>23080325</v>
      </c>
    </row>
    <row r="12" spans="2:9" x14ac:dyDescent="0.45">
      <c r="B12" t="s">
        <v>622</v>
      </c>
      <c r="C12" s="8">
        <f>C10/B5</f>
        <v>0.78543420525965346</v>
      </c>
    </row>
  </sheetData>
  <pageMargins left="0.7" right="0.7" top="0.75" bottom="0.75" header="0.3" footer="0.3"/>
  <pageSetup paperSize="9" orientation="portrait" verticalDpi="0"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X7:X25"/>
  <sheetViews>
    <sheetView showGridLines="0" showRowColHeaders="0" tabSelected="1" zoomScale="58" zoomScaleNormal="58" workbookViewId="0">
      <selection activeCell="R35" sqref="R35"/>
    </sheetView>
  </sheetViews>
  <sheetFormatPr defaultRowHeight="14.25" x14ac:dyDescent="0.45"/>
  <sheetData>
    <row r="7" spans="24:24" x14ac:dyDescent="0.45">
      <c r="X7" s="5"/>
    </row>
    <row r="8" spans="24:24" x14ac:dyDescent="0.45">
      <c r="X8" s="5"/>
    </row>
    <row r="9" spans="24:24" x14ac:dyDescent="0.45">
      <c r="X9" s="5"/>
    </row>
    <row r="10" spans="24:24" x14ac:dyDescent="0.45">
      <c r="X10" s="5"/>
    </row>
    <row r="11" spans="24:24" x14ac:dyDescent="0.45">
      <c r="X11" s="5"/>
    </row>
    <row r="12" spans="24:24" x14ac:dyDescent="0.45">
      <c r="X12" s="5"/>
    </row>
    <row r="13" spans="24:24" x14ac:dyDescent="0.45">
      <c r="X13" s="5"/>
    </row>
    <row r="14" spans="24:24" x14ac:dyDescent="0.45">
      <c r="X14" s="5"/>
    </row>
    <row r="15" spans="24:24" x14ac:dyDescent="0.45">
      <c r="X15" s="5"/>
    </row>
    <row r="16" spans="24:24" x14ac:dyDescent="0.45">
      <c r="X16" s="5"/>
    </row>
    <row r="17" spans="24:24" x14ac:dyDescent="0.45">
      <c r="X17" s="5"/>
    </row>
    <row r="18" spans="24:24" x14ac:dyDescent="0.45">
      <c r="X18" s="5"/>
    </row>
    <row r="19" spans="24:24" x14ac:dyDescent="0.45">
      <c r="X19" s="5"/>
    </row>
    <row r="20" spans="24:24" x14ac:dyDescent="0.45">
      <c r="X20" s="5"/>
    </row>
    <row r="21" spans="24:24" x14ac:dyDescent="0.45">
      <c r="X21" s="5"/>
    </row>
    <row r="22" spans="24:24" x14ac:dyDescent="0.45">
      <c r="X22" s="5"/>
    </row>
    <row r="23" spans="24:24" x14ac:dyDescent="0.45">
      <c r="X23" s="5"/>
    </row>
    <row r="24" spans="24:24" x14ac:dyDescent="0.45">
      <c r="X24" s="5"/>
    </row>
    <row r="25" spans="24:24" x14ac:dyDescent="0.45">
      <c r="X25" s="5"/>
    </row>
  </sheetData>
  <pageMargins left="0.7" right="0.7" top="0.75" bottom="0.75" header="0.3" footer="0.3"/>
  <pageSetup paperSize="9" scale="76" orientation="landscape" verticalDpi="0"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pivot</vt:lpstr>
      <vt:lpstr>KPI</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dc:creator>
  <cp:lastModifiedBy>Sneha</cp:lastModifiedBy>
  <cp:lastPrinted>2026-05-20T06:24:16Z</cp:lastPrinted>
  <dcterms:created xsi:type="dcterms:W3CDTF">2026-05-19T06:12:40Z</dcterms:created>
  <dcterms:modified xsi:type="dcterms:W3CDTF">2026-05-20T07:23:49Z</dcterms:modified>
</cp:coreProperties>
</file>